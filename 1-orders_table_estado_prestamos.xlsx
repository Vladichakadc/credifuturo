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redifuturo\"/>
    </mc:Choice>
  </mc:AlternateContent>
  <xr:revisionPtr revIDLastSave="0" documentId="13_ncr:1_{7F10E07C-4CC2-4F61-A2B8-771A3F23273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estamo" sheetId="1" r:id="rId1"/>
    <sheet name="Hoja1" sheetId="5" r:id="rId2"/>
    <sheet name="Hoja3" sheetId="4" r:id="rId3"/>
  </sheets>
  <definedNames>
    <definedName name="_xlnm._FilterDatabase" localSheetId="0" hidden="1">Prestamo!$A$1:$V$123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23" i="1" l="1"/>
  <c r="I123" i="1"/>
  <c r="L123" i="1" s="1"/>
  <c r="O122" i="1"/>
  <c r="O121" i="1"/>
  <c r="F122" i="1"/>
  <c r="I122" i="1" s="1"/>
  <c r="L122" i="1" s="1"/>
  <c r="I121" i="1"/>
  <c r="L121" i="1" s="1"/>
  <c r="O120" i="1"/>
  <c r="O119" i="1"/>
  <c r="O118" i="1"/>
  <c r="O117" i="1"/>
  <c r="O116" i="1"/>
  <c r="O115" i="1"/>
  <c r="O114" i="1"/>
  <c r="O113" i="1"/>
  <c r="O112" i="1"/>
  <c r="F112" i="1" s="1"/>
  <c r="I112" i="1" s="1"/>
  <c r="L112" i="1" s="1"/>
  <c r="O111" i="1"/>
  <c r="I111" i="1"/>
  <c r="L111" i="1" s="1"/>
  <c r="O110" i="1"/>
  <c r="O109" i="1"/>
  <c r="O108" i="1"/>
  <c r="F108" i="1" s="1"/>
  <c r="O107" i="1"/>
  <c r="I107" i="1"/>
  <c r="L107" i="1" s="1"/>
  <c r="O106" i="1"/>
  <c r="O105" i="1"/>
  <c r="O104" i="1"/>
  <c r="O103" i="1"/>
  <c r="F103" i="1" s="1"/>
  <c r="I103" i="1" s="1"/>
  <c r="L103" i="1" s="1"/>
  <c r="O102" i="1"/>
  <c r="O96" i="1"/>
  <c r="O97" i="1"/>
  <c r="O98" i="1"/>
  <c r="O99" i="1"/>
  <c r="O100" i="1"/>
  <c r="O101" i="1"/>
  <c r="O95" i="1"/>
  <c r="O94" i="1"/>
  <c r="O93" i="1"/>
  <c r="O92" i="1"/>
  <c r="I102" i="1"/>
  <c r="L102" i="1" s="1"/>
  <c r="I92" i="1"/>
  <c r="L92" i="1" s="1"/>
  <c r="O91" i="1"/>
  <c r="O90" i="1"/>
  <c r="O89" i="1"/>
  <c r="O88" i="1"/>
  <c r="O87" i="1"/>
  <c r="F87" i="1" s="1"/>
  <c r="O86" i="1"/>
  <c r="I86" i="1"/>
  <c r="L86" i="1" s="1"/>
  <c r="O85" i="1"/>
  <c r="O84" i="1"/>
  <c r="O83" i="1"/>
  <c r="O82" i="1"/>
  <c r="O81" i="1"/>
  <c r="O80" i="1"/>
  <c r="O79" i="1"/>
  <c r="O78" i="1"/>
  <c r="O77" i="1"/>
  <c r="F77" i="1" s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F61" i="1" s="1"/>
  <c r="O60" i="1"/>
  <c r="I76" i="1"/>
  <c r="L76" i="1" s="1"/>
  <c r="I70" i="1"/>
  <c r="L70" i="1" s="1"/>
  <c r="I60" i="1"/>
  <c r="L60" i="1" s="1"/>
  <c r="I59" i="1"/>
  <c r="L59" i="1" s="1"/>
  <c r="I56" i="1"/>
  <c r="F113" i="1" l="1"/>
  <c r="F78" i="1"/>
  <c r="I78" i="1" s="1"/>
  <c r="L78" i="1" s="1"/>
  <c r="I108" i="1"/>
  <c r="L108" i="1" s="1"/>
  <c r="F109" i="1"/>
  <c r="F88" i="1"/>
  <c r="I88" i="1" s="1"/>
  <c r="L88" i="1" s="1"/>
  <c r="F72" i="1"/>
  <c r="F73" i="1" s="1"/>
  <c r="F74" i="1" s="1"/>
  <c r="F75" i="1" s="1"/>
  <c r="F79" i="1"/>
  <c r="F62" i="1"/>
  <c r="F63" i="1" s="1"/>
  <c r="F64" i="1" s="1"/>
  <c r="F65" i="1" s="1"/>
  <c r="F66" i="1" s="1"/>
  <c r="F67" i="1" s="1"/>
  <c r="F68" i="1" s="1"/>
  <c r="F69" i="1" s="1"/>
  <c r="I77" i="1"/>
  <c r="L77" i="1" s="1"/>
  <c r="I71" i="1"/>
  <c r="I61" i="1"/>
  <c r="L61" i="1" s="1"/>
  <c r="O59" i="1"/>
  <c r="L56" i="1"/>
  <c r="O56" i="1" s="1"/>
  <c r="F57" i="1" s="1"/>
  <c r="I57" i="1" s="1"/>
  <c r="I51" i="1"/>
  <c r="I46" i="1"/>
  <c r="I42" i="1"/>
  <c r="F89" i="1" l="1"/>
  <c r="I113" i="1"/>
  <c r="L113" i="1" s="1"/>
  <c r="F114" i="1"/>
  <c r="I109" i="1"/>
  <c r="L109" i="1" s="1"/>
  <c r="F110" i="1"/>
  <c r="I110" i="1" s="1"/>
  <c r="L110" i="1" s="1"/>
  <c r="I89" i="1"/>
  <c r="L89" i="1" s="1"/>
  <c r="F90" i="1"/>
  <c r="F80" i="1"/>
  <c r="I79" i="1"/>
  <c r="L79" i="1" s="1"/>
  <c r="L71" i="1"/>
  <c r="I72" i="1" s="1"/>
  <c r="I62" i="1"/>
  <c r="L62" i="1" s="1"/>
  <c r="L51" i="1"/>
  <c r="O51" i="1" s="1"/>
  <c r="F52" i="1" s="1"/>
  <c r="I52" i="1" s="1"/>
  <c r="L46" i="1"/>
  <c r="O46" i="1" s="1"/>
  <c r="L57" i="1"/>
  <c r="O57" i="1" s="1"/>
  <c r="F58" i="1" s="1"/>
  <c r="I58" i="1" s="1"/>
  <c r="L42" i="1"/>
  <c r="O42" i="1" s="1"/>
  <c r="F43" i="1" s="1"/>
  <c r="I43" i="1" s="1"/>
  <c r="I114" i="1" l="1"/>
  <c r="L114" i="1" s="1"/>
  <c r="F115" i="1"/>
  <c r="I90" i="1"/>
  <c r="L90" i="1" s="1"/>
  <c r="F91" i="1"/>
  <c r="I91" i="1" s="1"/>
  <c r="L91" i="1" s="1"/>
  <c r="I80" i="1"/>
  <c r="L80" i="1" s="1"/>
  <c r="F81" i="1"/>
  <c r="L72" i="1"/>
  <c r="I73" i="1" s="1"/>
  <c r="I63" i="1"/>
  <c r="L63" i="1" s="1"/>
  <c r="L52" i="1"/>
  <c r="O52" i="1" s="1"/>
  <c r="F53" i="1" s="1"/>
  <c r="I53" i="1" s="1"/>
  <c r="L53" i="1" s="1"/>
  <c r="L58" i="1"/>
  <c r="O58" i="1" s="1"/>
  <c r="F47" i="1"/>
  <c r="I47" i="1" s="1"/>
  <c r="L43" i="1"/>
  <c r="O43" i="1" s="1"/>
  <c r="F44" i="1" s="1"/>
  <c r="I44" i="1" s="1"/>
  <c r="I115" i="1" l="1"/>
  <c r="L115" i="1" s="1"/>
  <c r="F116" i="1"/>
  <c r="I81" i="1"/>
  <c r="L81" i="1" s="1"/>
  <c r="F82" i="1"/>
  <c r="L73" i="1"/>
  <c r="I74" i="1" s="1"/>
  <c r="I64" i="1"/>
  <c r="L64" i="1" s="1"/>
  <c r="L44" i="1"/>
  <c r="O44" i="1" s="1"/>
  <c r="F45" i="1" s="1"/>
  <c r="I45" i="1" s="1"/>
  <c r="L47" i="1"/>
  <c r="O47" i="1" s="1"/>
  <c r="F48" i="1" s="1"/>
  <c r="I48" i="1" s="1"/>
  <c r="L48" i="1" s="1"/>
  <c r="O48" i="1" s="1"/>
  <c r="O53" i="1"/>
  <c r="F54" i="1" s="1"/>
  <c r="I54" i="1" s="1"/>
  <c r="L54" i="1" s="1"/>
  <c r="I116" i="1" l="1"/>
  <c r="L116" i="1" s="1"/>
  <c r="F117" i="1"/>
  <c r="I82" i="1"/>
  <c r="L82" i="1" s="1"/>
  <c r="F83" i="1"/>
  <c r="L74" i="1"/>
  <c r="I75" i="1" s="1"/>
  <c r="I65" i="1"/>
  <c r="L65" i="1" s="1"/>
  <c r="O54" i="1"/>
  <c r="F55" i="1" s="1"/>
  <c r="I55" i="1" s="1"/>
  <c r="L55" i="1" s="1"/>
  <c r="F49" i="1"/>
  <c r="I49" i="1" s="1"/>
  <c r="L49" i="1" s="1"/>
  <c r="O49" i="1" s="1"/>
  <c r="L45" i="1"/>
  <c r="O45" i="1" s="1"/>
  <c r="I117" i="1" l="1"/>
  <c r="L117" i="1" s="1"/>
  <c r="F118" i="1"/>
  <c r="I83" i="1"/>
  <c r="L83" i="1" s="1"/>
  <c r="F84" i="1"/>
  <c r="L75" i="1"/>
  <c r="I66" i="1"/>
  <c r="L66" i="1" s="1"/>
  <c r="O55" i="1"/>
  <c r="F50" i="1"/>
  <c r="I50" i="1" s="1"/>
  <c r="L50" i="1" s="1"/>
  <c r="O50" i="1" s="1"/>
  <c r="I36" i="1"/>
  <c r="I118" i="1" l="1"/>
  <c r="L118" i="1" s="1"/>
  <c r="F119" i="1"/>
  <c r="I84" i="1"/>
  <c r="L84" i="1" s="1"/>
  <c r="F85" i="1"/>
  <c r="I85" i="1" s="1"/>
  <c r="L85" i="1" s="1"/>
  <c r="I67" i="1"/>
  <c r="L67" i="1" s="1"/>
  <c r="L36" i="1"/>
  <c r="O36" i="1" s="1"/>
  <c r="F37" i="1" s="1"/>
  <c r="I37" i="1" s="1"/>
  <c r="F120" i="1" l="1"/>
  <c r="I120" i="1" s="1"/>
  <c r="L120" i="1" s="1"/>
  <c r="I119" i="1"/>
  <c r="L119" i="1" s="1"/>
  <c r="I68" i="1"/>
  <c r="L68" i="1" s="1"/>
  <c r="L37" i="1"/>
  <c r="O37" i="1" s="1"/>
  <c r="F38" i="1" s="1"/>
  <c r="I38" i="1" s="1"/>
  <c r="I32" i="1"/>
  <c r="I28" i="1"/>
  <c r="I21" i="1"/>
  <c r="I19" i="1"/>
  <c r="I15" i="1"/>
  <c r="I69" i="1" l="1"/>
  <c r="L69" i="1" s="1"/>
  <c r="L32" i="1"/>
  <c r="O32" i="1" s="1"/>
  <c r="L28" i="1"/>
  <c r="O28" i="1" s="1"/>
  <c r="F29" i="1" s="1"/>
  <c r="I29" i="1" s="1"/>
  <c r="L38" i="1"/>
  <c r="O38" i="1" s="1"/>
  <c r="F39" i="1" s="1"/>
  <c r="I39" i="1" s="1"/>
  <c r="L39" i="1" s="1"/>
  <c r="L19" i="1"/>
  <c r="O19" i="1" s="1"/>
  <c r="F20" i="1" s="1"/>
  <c r="L21" i="1"/>
  <c r="O21" i="1" s="1"/>
  <c r="F22" i="1" s="1"/>
  <c r="I7" i="1"/>
  <c r="I2" i="1"/>
  <c r="L15" i="1"/>
  <c r="L29" i="1" l="1"/>
  <c r="O29" i="1" s="1"/>
  <c r="F30" i="1" s="1"/>
  <c r="I30" i="1" s="1"/>
  <c r="L7" i="1"/>
  <c r="O7" i="1" s="1"/>
  <c r="F8" i="1" s="1"/>
  <c r="I8" i="1" s="1"/>
  <c r="O39" i="1"/>
  <c r="F40" i="1" s="1"/>
  <c r="I40" i="1" s="1"/>
  <c r="L40" i="1" s="1"/>
  <c r="F33" i="1"/>
  <c r="I33" i="1" s="1"/>
  <c r="I22" i="1"/>
  <c r="I20" i="1"/>
  <c r="L2" i="1"/>
  <c r="O15" i="1"/>
  <c r="F16" i="1" s="1"/>
  <c r="L20" i="1" l="1"/>
  <c r="O20" i="1" s="1"/>
  <c r="L22" i="1"/>
  <c r="O22" i="1" s="1"/>
  <c r="F23" i="1" s="1"/>
  <c r="I23" i="1" s="1"/>
  <c r="L30" i="1"/>
  <c r="O30" i="1" s="1"/>
  <c r="F31" i="1" s="1"/>
  <c r="I31" i="1" s="1"/>
  <c r="L33" i="1"/>
  <c r="O33" i="1" s="1"/>
  <c r="F34" i="1" s="1"/>
  <c r="I34" i="1" s="1"/>
  <c r="L8" i="1"/>
  <c r="O8" i="1" s="1"/>
  <c r="F9" i="1" s="1"/>
  <c r="I9" i="1" s="1"/>
  <c r="O40" i="1"/>
  <c r="F41" i="1" s="1"/>
  <c r="I41" i="1" s="1"/>
  <c r="L41" i="1" s="1"/>
  <c r="O2" i="1"/>
  <c r="F3" i="1" s="1"/>
  <c r="I3" i="1" s="1"/>
  <c r="L3" i="1" s="1"/>
  <c r="N2" i="1"/>
  <c r="I16" i="1"/>
  <c r="L31" i="1" l="1"/>
  <c r="O31" i="1" s="1"/>
  <c r="L23" i="1"/>
  <c r="L34" i="1"/>
  <c r="O34" i="1" s="1"/>
  <c r="F35" i="1" s="1"/>
  <c r="I35" i="1" s="1"/>
  <c r="L16" i="1"/>
  <c r="O16" i="1" s="1"/>
  <c r="F17" i="1" s="1"/>
  <c r="I17" i="1" s="1"/>
  <c r="L9" i="1"/>
  <c r="O9" i="1" s="1"/>
  <c r="F10" i="1" s="1"/>
  <c r="I10" i="1" s="1"/>
  <c r="O41" i="1"/>
  <c r="O3" i="1"/>
  <c r="F4" i="1" s="1"/>
  <c r="I4" i="1" s="1"/>
  <c r="N3" i="1"/>
  <c r="L10" i="1" l="1"/>
  <c r="O10" i="1" s="1"/>
  <c r="F11" i="1" s="1"/>
  <c r="I11" i="1" s="1"/>
  <c r="L35" i="1"/>
  <c r="O35" i="1" s="1"/>
  <c r="L4" i="1"/>
  <c r="O4" i="1" s="1"/>
  <c r="F5" i="1" s="1"/>
  <c r="I5" i="1" s="1"/>
  <c r="O23" i="1"/>
  <c r="F24" i="1" s="1"/>
  <c r="L17" i="1"/>
  <c r="L11" i="1" l="1"/>
  <c r="O11" i="1" s="1"/>
  <c r="F12" i="1" s="1"/>
  <c r="I12" i="1" s="1"/>
  <c r="L5" i="1"/>
  <c r="O5" i="1" s="1"/>
  <c r="F6" i="1" s="1"/>
  <c r="I6" i="1" s="1"/>
  <c r="I24" i="1"/>
  <c r="O17" i="1"/>
  <c r="F18" i="1" s="1"/>
  <c r="I18" i="1" s="1"/>
  <c r="L12" i="1" l="1"/>
  <c r="O12" i="1" s="1"/>
  <c r="F13" i="1" s="1"/>
  <c r="I13" i="1" s="1"/>
  <c r="L24" i="1"/>
  <c r="O24" i="1" s="1"/>
  <c r="F25" i="1" s="1"/>
  <c r="L6" i="1"/>
  <c r="O6" i="1" s="1"/>
  <c r="L18" i="1"/>
  <c r="L13" i="1" l="1"/>
  <c r="O13" i="1" s="1"/>
  <c r="F14" i="1" s="1"/>
  <c r="I14" i="1" s="1"/>
  <c r="I25" i="1"/>
  <c r="L25" i="1" s="1"/>
  <c r="O25" i="1" s="1"/>
  <c r="F26" i="1" s="1"/>
  <c r="O18" i="1"/>
  <c r="I26" i="1" l="1"/>
  <c r="L26" i="1" s="1"/>
  <c r="O26" i="1" s="1"/>
  <c r="L14" i="1"/>
  <c r="F27" i="1" l="1"/>
  <c r="O14" i="1"/>
  <c r="I27" i="1" l="1"/>
  <c r="L27" i="1" s="1"/>
  <c r="O27" i="1" s="1"/>
  <c r="I87" i="1" l="1"/>
  <c r="L87" i="1" s="1"/>
  <c r="F93" i="1" l="1"/>
  <c r="I93" i="1" l="1"/>
  <c r="L93" i="1" s="1"/>
  <c r="F94" i="1"/>
  <c r="F95" i="1" l="1"/>
  <c r="I94" i="1"/>
  <c r="L94" i="1" s="1"/>
  <c r="I95" i="1" l="1"/>
  <c r="L95" i="1" s="1"/>
  <c r="F96" i="1"/>
  <c r="I96" i="1" l="1"/>
  <c r="L96" i="1" s="1"/>
  <c r="F97" i="1"/>
  <c r="I97" i="1" l="1"/>
  <c r="L97" i="1" s="1"/>
  <c r="F98" i="1"/>
  <c r="I98" i="1" l="1"/>
  <c r="L98" i="1" s="1"/>
  <c r="F99" i="1"/>
  <c r="F100" i="1" l="1"/>
  <c r="I99" i="1"/>
  <c r="L99" i="1" s="1"/>
  <c r="I100" i="1" l="1"/>
  <c r="L100" i="1" s="1"/>
  <c r="F101" i="1"/>
  <c r="I101" i="1" s="1"/>
  <c r="L101" i="1" s="1"/>
  <c r="F104" i="1"/>
  <c r="F105" i="1" l="1"/>
  <c r="I105" i="1" s="1"/>
  <c r="L105" i="1" s="1"/>
  <c r="I104" i="1"/>
  <c r="L104" i="1" s="1"/>
  <c r="F106" i="1" l="1"/>
  <c r="I106" i="1" s="1"/>
  <c r="L106" i="1" s="1"/>
</calcChain>
</file>

<file path=xl/sharedStrings.xml><?xml version="1.0" encoding="utf-8"?>
<sst xmlns="http://schemas.openxmlformats.org/spreadsheetml/2006/main" count="1022" uniqueCount="221">
  <si>
    <t>Item_Quantity</t>
  </si>
  <si>
    <t>Customer_id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</si>
  <si>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</si>
  <si>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</si>
  <si>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</si>
  <si>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</si>
  <si>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</si>
  <si>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</si>
  <si>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</si>
  <si>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</si>
  <si>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</si>
  <si>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Nombre</t>
  </si>
  <si>
    <t>Apellido</t>
  </si>
  <si>
    <t>Octubre</t>
  </si>
  <si>
    <t>Diciembre</t>
  </si>
  <si>
    <t>Noviembre</t>
  </si>
  <si>
    <t># Transaccion</t>
  </si>
  <si>
    <t>Observaciones</t>
  </si>
  <si>
    <t>Bancolombia</t>
  </si>
  <si>
    <t>Scotiabank</t>
  </si>
  <si>
    <t>P1</t>
  </si>
  <si>
    <t>P2</t>
  </si>
  <si>
    <t>9b71ab967733</t>
  </si>
  <si>
    <t>Interes Mensual</t>
  </si>
  <si>
    <t xml:space="preserve">Mes Desembolso </t>
  </si>
  <si>
    <t>P3</t>
  </si>
  <si>
    <t>P4</t>
  </si>
  <si>
    <t>P5</t>
  </si>
  <si>
    <t>P6</t>
  </si>
  <si>
    <t>P7</t>
  </si>
  <si>
    <t>P8</t>
  </si>
  <si>
    <t>P9</t>
  </si>
  <si>
    <t>P10</t>
  </si>
  <si>
    <t>Saldo Inicial</t>
  </si>
  <si>
    <t>Saldo Final</t>
  </si>
  <si>
    <t xml:space="preserve">Valor Intereses amortizados </t>
  </si>
  <si>
    <t xml:space="preserve">Valor Cuota Variable </t>
  </si>
  <si>
    <t>P11</t>
  </si>
  <si>
    <t>P12</t>
  </si>
  <si>
    <t>P13</t>
  </si>
  <si>
    <t>P14</t>
  </si>
  <si>
    <t>P15</t>
  </si>
  <si>
    <t>P16</t>
  </si>
  <si>
    <t>P17</t>
  </si>
  <si>
    <t>Banco desembolsado</t>
  </si>
  <si>
    <t xml:space="preserve">Mes de Pago </t>
  </si>
  <si>
    <t>fd6e8e7b</t>
  </si>
  <si>
    <t>Nequi</t>
  </si>
  <si>
    <t>Cuenta de Ahorros</t>
  </si>
  <si>
    <t>P18</t>
  </si>
  <si>
    <t>P19</t>
  </si>
  <si>
    <t>GNB Sudameris</t>
  </si>
  <si>
    <t>Fecha de Pago Max</t>
  </si>
  <si>
    <t xml:space="preserve">Estado </t>
  </si>
  <si>
    <t xml:space="preserve">Pago </t>
  </si>
  <si>
    <t>Valor Cuota Pago</t>
  </si>
  <si>
    <t>Ultima Cuota</t>
  </si>
  <si>
    <t>Cuota Inicial</t>
  </si>
  <si>
    <t># Cuotas Prestamo</t>
  </si>
  <si>
    <t>P20</t>
  </si>
  <si>
    <t>P21</t>
  </si>
  <si>
    <t>P22</t>
  </si>
  <si>
    <t>P23</t>
  </si>
  <si>
    <t>P24</t>
  </si>
  <si>
    <t>P25</t>
  </si>
  <si>
    <t>P26</t>
  </si>
  <si>
    <t>Id_EP</t>
  </si>
  <si>
    <t>P27</t>
  </si>
  <si>
    <t>P28</t>
  </si>
  <si>
    <t>P29</t>
  </si>
  <si>
    <t>P30</t>
  </si>
  <si>
    <t>P31</t>
  </si>
  <si>
    <t>P32</t>
  </si>
  <si>
    <t>P33</t>
  </si>
  <si>
    <t>P34</t>
  </si>
  <si>
    <t>Id_VM</t>
  </si>
  <si>
    <t>SOL1</t>
  </si>
  <si>
    <t>SOL2</t>
  </si>
  <si>
    <t>SOL3</t>
  </si>
  <si>
    <t>SOL4</t>
  </si>
  <si>
    <t>SOL5</t>
  </si>
  <si>
    <t>SOL6</t>
  </si>
  <si>
    <t>SOL7</t>
  </si>
  <si>
    <t>P35</t>
  </si>
  <si>
    <t>P36</t>
  </si>
  <si>
    <t>P37</t>
  </si>
  <si>
    <t>P38</t>
  </si>
  <si>
    <t>P39</t>
  </si>
  <si>
    <t>P40</t>
  </si>
  <si>
    <t>SOL8</t>
  </si>
  <si>
    <t>Estado Prestamo</t>
  </si>
  <si>
    <t>Cancelado</t>
  </si>
  <si>
    <t>5da92</t>
  </si>
  <si>
    <t>P41</t>
  </si>
  <si>
    <t>P42</t>
  </si>
  <si>
    <t>P43</t>
  </si>
  <si>
    <t>P44</t>
  </si>
  <si>
    <t>SOL9</t>
  </si>
  <si>
    <t>BBVA</t>
  </si>
  <si>
    <t>P45</t>
  </si>
  <si>
    <t>P46</t>
  </si>
  <si>
    <t>P47</t>
  </si>
  <si>
    <t>P48</t>
  </si>
  <si>
    <t>P49</t>
  </si>
  <si>
    <t>SOL10</t>
  </si>
  <si>
    <t>P50</t>
  </si>
  <si>
    <t>P51</t>
  </si>
  <si>
    <t>P52</t>
  </si>
  <si>
    <t>P53</t>
  </si>
  <si>
    <t>P54</t>
  </si>
  <si>
    <t>SOL11</t>
  </si>
  <si>
    <t>P55</t>
  </si>
  <si>
    <t>P56</t>
  </si>
  <si>
    <t>P57</t>
  </si>
  <si>
    <t>NU</t>
  </si>
  <si>
    <t>1CC2E2</t>
  </si>
  <si>
    <t>a35e8</t>
  </si>
  <si>
    <t>SOL12</t>
  </si>
  <si>
    <t>A5AD0</t>
  </si>
  <si>
    <t>P58</t>
  </si>
  <si>
    <t>SOL13</t>
  </si>
  <si>
    <t>9ddd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</si>
  <si>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</si>
  <si>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</si>
  <si>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</si>
  <si>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</si>
  <si>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</si>
  <si>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</si>
  <si>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</si>
  <si>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</si>
  <si>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</si>
  <si>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</si>
  <si>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Pendiente</t>
  </si>
  <si>
    <t>SOL14</t>
  </si>
  <si>
    <t>P69</t>
  </si>
  <si>
    <t>P70</t>
  </si>
  <si>
    <t>P71</t>
  </si>
  <si>
    <t>P72</t>
  </si>
  <si>
    <t>P73</t>
  </si>
  <si>
    <t>P74</t>
  </si>
  <si>
    <t>P75</t>
  </si>
  <si>
    <t>P76</t>
  </si>
  <si>
    <t>SOL15</t>
  </si>
  <si>
    <t>SOL16</t>
  </si>
  <si>
    <t>P77</t>
  </si>
  <si>
    <t>P78</t>
  </si>
  <si>
    <t>P79</t>
  </si>
  <si>
    <t>mayo</t>
  </si>
  <si>
    <t>P80</t>
  </si>
  <si>
    <t>P81</t>
  </si>
  <si>
    <t>P82</t>
  </si>
  <si>
    <t>P83</t>
  </si>
  <si>
    <t>P84</t>
  </si>
  <si>
    <t>P85</t>
  </si>
  <si>
    <t>SOL17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</si>
  <si>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</si>
  <si>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</si>
  <si>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</si>
  <si>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</si>
  <si>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</si>
  <si>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</si>
  <si>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</si>
  <si>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</si>
  <si>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</si>
  <si>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</si>
  <si>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</si>
  <si>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</si>
  <si>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</si>
  <si>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</si>
  <si>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</si>
  <si>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SOL18</t>
  </si>
  <si>
    <t>P101</t>
  </si>
  <si>
    <t>P102</t>
  </si>
  <si>
    <t>P103</t>
  </si>
  <si>
    <t>P104</t>
  </si>
  <si>
    <t>P105</t>
  </si>
  <si>
    <t>SOL19</t>
  </si>
  <si>
    <t>P106</t>
  </si>
  <si>
    <t>P107</t>
  </si>
  <si>
    <t>P108</t>
  </si>
  <si>
    <t>P109</t>
  </si>
  <si>
    <t>SOL20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</si>
  <si>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</si>
  <si>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</si>
  <si>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</si>
  <si>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</si>
  <si>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</si>
  <si>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</si>
  <si>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</si>
  <si>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</si>
  <si>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</si>
  <si>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</si>
  <si>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 xml:space="preserve">Xiomara </t>
  </si>
  <si>
    <t>SOL21</t>
  </si>
  <si>
    <t>Pago</t>
  </si>
  <si>
    <t>P120</t>
  </si>
  <si>
    <t>P121</t>
  </si>
  <si>
    <t>SOL22</t>
  </si>
  <si>
    <t xml:space="preserve">Rojas </t>
  </si>
  <si>
    <t xml:space="preserve">Diana </t>
  </si>
  <si>
    <t xml:space="preserve">Juan Carlos </t>
  </si>
  <si>
    <t xml:space="preserve">Tascon </t>
  </si>
  <si>
    <t xml:space="preserve">Leonardo </t>
  </si>
  <si>
    <t>Lady</t>
  </si>
  <si>
    <t>Torres</t>
  </si>
  <si>
    <t xml:space="preserve">Doris </t>
  </si>
  <si>
    <t xml:space="preserve">Pascuas </t>
  </si>
  <si>
    <t xml:space="preserve">David </t>
  </si>
  <si>
    <t xml:space="preserve">Camargo </t>
  </si>
  <si>
    <t xml:space="preserve">Jesus Vladimir </t>
  </si>
  <si>
    <t>Escobar</t>
  </si>
  <si>
    <t xml:space="preserve">Vladimir </t>
  </si>
  <si>
    <t xml:space="preserve">Fermin </t>
  </si>
  <si>
    <t>Diaz</t>
  </si>
  <si>
    <t>Gimena</t>
  </si>
  <si>
    <t xml:space="preserve">Laura </t>
  </si>
  <si>
    <t>Sanchez</t>
  </si>
  <si>
    <t>P122</t>
  </si>
  <si>
    <t>Carolina</t>
  </si>
  <si>
    <t>Caro</t>
  </si>
  <si>
    <t>SOL23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</si>
</sst>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\ #,##0"/>
    <numFmt numFmtId="165" formatCode="0.0%"/>
  </numFmts>
  <fonts count="1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"/>
      <color theme="1" tint="0.24994659260841701"/>
      <name val="Calibri Light"/>
      <family val="2"/>
      <scheme val="maj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0.5999938962981048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76B4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4" fillId="0" borderId="0"/>
    <xf numFmtId="0" fontId="6" fillId="0" borderId="0" applyFill="0" applyBorder="0" applyProtection="0">
      <alignment horizontal="left" wrapText="1"/>
    </xf>
    <xf numFmtId="0" fontId="3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/>
    </xf>
    <xf numFmtId="49" fontId="5" fillId="2" borderId="0" xfId="1" applyNumberFormat="1" applyFont="1" applyFill="1" applyAlignment="1">
      <alignment horizontal="center" vertical="center"/>
    </xf>
    <xf numFmtId="164" fontId="5" fillId="2" borderId="0" xfId="1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1" fontId="5" fillId="2" borderId="0" xfId="1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1" fontId="5" fillId="2" borderId="1" xfId="1" applyNumberFormat="1" applyFont="1" applyFill="1" applyBorder="1" applyAlignment="1">
      <alignment horizontal="center" vertical="center"/>
    </xf>
    <xf numFmtId="164" fontId="9" fillId="4" borderId="2" xfId="5" applyNumberFormat="1" applyFont="1" applyFill="1" applyBorder="1" applyAlignment="1">
      <alignment horizontal="center"/>
    </xf>
    <xf numFmtId="164" fontId="9" fillId="3" borderId="2" xfId="5" applyNumberFormat="1" applyFont="1" applyFill="1" applyBorder="1" applyAlignment="1">
      <alignment horizontal="center"/>
    </xf>
    <xf numFmtId="164" fontId="9" fillId="4" borderId="3" xfId="5" applyNumberFormat="1" applyFont="1" applyFill="1" applyBorder="1" applyAlignment="1">
      <alignment horizontal="center"/>
    </xf>
    <xf numFmtId="164" fontId="0" fillId="4" borderId="2" xfId="5" applyNumberFormat="1" applyFont="1" applyFill="1" applyBorder="1" applyAlignment="1">
      <alignment horizontal="center"/>
    </xf>
    <xf numFmtId="164" fontId="0" fillId="3" borderId="2" xfId="5" applyNumberFormat="1" applyFont="1" applyFill="1" applyBorder="1" applyAlignment="1">
      <alignment horizontal="center"/>
    </xf>
    <xf numFmtId="164" fontId="0" fillId="4" borderId="3" xfId="5" applyNumberFormat="1" applyFont="1" applyFill="1" applyBorder="1" applyAlignment="1">
      <alignment horizontal="center"/>
    </xf>
    <xf numFmtId="164" fontId="9" fillId="4" borderId="1" xfId="5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 vertical="center"/>
    </xf>
    <xf numFmtId="14" fontId="9" fillId="4" borderId="2" xfId="5" applyNumberFormat="1" applyFont="1" applyFill="1" applyBorder="1" applyAlignment="1">
      <alignment horizontal="center"/>
    </xf>
    <xf numFmtId="14" fontId="9" fillId="3" borderId="2" xfId="5" applyNumberFormat="1" applyFont="1" applyFill="1" applyBorder="1" applyAlignment="1">
      <alignment horizontal="center"/>
    </xf>
    <xf numFmtId="14" fontId="9" fillId="4" borderId="4" xfId="5" applyNumberFormat="1" applyFont="1" applyFill="1" applyBorder="1" applyAlignment="1">
      <alignment horizontal="center"/>
    </xf>
    <xf numFmtId="164" fontId="0" fillId="4" borderId="5" xfId="5" applyNumberFormat="1" applyFont="1" applyFill="1" applyBorder="1" applyAlignment="1">
      <alignment horizontal="center"/>
    </xf>
    <xf numFmtId="164" fontId="9" fillId="4" borderId="6" xfId="5" applyNumberFormat="1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0" fillId="6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165" fontId="0" fillId="3" borderId="8" xfId="4" applyNumberFormat="1" applyFont="1" applyFill="1" applyBorder="1" applyAlignment="1">
      <alignment horizontal="center"/>
    </xf>
    <xf numFmtId="164" fontId="9" fillId="3" borderId="1" xfId="5" applyNumberFormat="1" applyFont="1" applyFill="1" applyBorder="1" applyAlignment="1">
      <alignment horizontal="center"/>
    </xf>
    <xf numFmtId="14" fontId="9" fillId="3" borderId="1" xfId="5" applyNumberFormat="1" applyFont="1" applyFill="1" applyBorder="1" applyAlignment="1">
      <alignment horizontal="center"/>
    </xf>
    <xf numFmtId="164" fontId="0" fillId="3" borderId="1" xfId="5" applyNumberFormat="1" applyFon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0" xfId="0" applyFill="1" applyAlignment="1">
      <alignment horizontal="center"/>
    </xf>
    <xf numFmtId="164" fontId="10" fillId="3" borderId="0" xfId="0" applyNumberFormat="1" applyFont="1" applyFill="1" applyAlignment="1">
      <alignment horizontal="center"/>
    </xf>
    <xf numFmtId="1" fontId="0" fillId="3" borderId="0" xfId="0" applyNumberFormat="1" applyFill="1" applyAlignment="1">
      <alignment horizontal="center"/>
    </xf>
    <xf numFmtId="165" fontId="0" fillId="3" borderId="0" xfId="4" applyNumberFormat="1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164" fontId="10" fillId="3" borderId="10" xfId="0" applyNumberFormat="1" applyFont="1" applyFill="1" applyBorder="1" applyAlignment="1">
      <alignment horizontal="center"/>
    </xf>
    <xf numFmtId="1" fontId="0" fillId="3" borderId="10" xfId="0" applyNumberFormat="1" applyFill="1" applyBorder="1" applyAlignment="1">
      <alignment horizontal="center"/>
    </xf>
    <xf numFmtId="165" fontId="0" fillId="3" borderId="10" xfId="4" applyNumberFormat="1" applyFont="1" applyFill="1" applyBorder="1" applyAlignment="1">
      <alignment horizontal="center"/>
    </xf>
    <xf numFmtId="164" fontId="9" fillId="3" borderId="3" xfId="5" applyNumberFormat="1" applyFont="1" applyFill="1" applyBorder="1" applyAlignment="1">
      <alignment horizontal="center"/>
    </xf>
    <xf numFmtId="14" fontId="9" fillId="3" borderId="3" xfId="5" applyNumberFormat="1" applyFont="1" applyFill="1" applyBorder="1" applyAlignment="1">
      <alignment horizontal="center"/>
    </xf>
    <xf numFmtId="164" fontId="0" fillId="3" borderId="3" xfId="5" applyNumberFormat="1" applyFont="1" applyFill="1" applyBorder="1" applyAlignment="1">
      <alignment horizontal="center"/>
    </xf>
    <xf numFmtId="164" fontId="0" fillId="5" borderId="10" xfId="0" applyNumberForma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1" fontId="0" fillId="4" borderId="8" xfId="0" applyNumberFormat="1" applyFill="1" applyBorder="1" applyAlignment="1">
      <alignment horizontal="center"/>
    </xf>
    <xf numFmtId="165" fontId="0" fillId="4" borderId="8" xfId="4" applyNumberFormat="1" applyFont="1" applyFill="1" applyBorder="1" applyAlignment="1">
      <alignment horizontal="center"/>
    </xf>
    <xf numFmtId="14" fontId="9" fillId="4" borderId="11" xfId="5" applyNumberFormat="1" applyFont="1" applyFill="1" applyBorder="1" applyAlignment="1">
      <alignment horizontal="center"/>
    </xf>
    <xf numFmtId="164" fontId="0" fillId="4" borderId="7" xfId="5" applyNumberFormat="1" applyFont="1" applyFill="1" applyBorder="1" applyAlignment="1">
      <alignment horizontal="center"/>
    </xf>
    <xf numFmtId="164" fontId="9" fillId="4" borderId="12" xfId="5" applyNumberFormat="1" applyFont="1" applyFill="1" applyBorder="1" applyAlignment="1">
      <alignment horizontal="center"/>
    </xf>
    <xf numFmtId="164" fontId="0" fillId="4" borderId="8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0" xfId="0" applyFill="1" applyAlignment="1">
      <alignment horizontal="center"/>
    </xf>
    <xf numFmtId="164" fontId="10" fillId="4" borderId="0" xfId="0" applyNumberFormat="1" applyFont="1" applyFill="1" applyAlignment="1">
      <alignment horizontal="center"/>
    </xf>
    <xf numFmtId="1" fontId="0" fillId="4" borderId="0" xfId="0" applyNumberFormat="1" applyFill="1" applyAlignment="1">
      <alignment horizontal="center"/>
    </xf>
    <xf numFmtId="165" fontId="0" fillId="4" borderId="0" xfId="4" applyNumberFormat="1" applyFont="1" applyFill="1" applyBorder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1" fontId="0" fillId="4" borderId="10" xfId="0" applyNumberFormat="1" applyFill="1" applyBorder="1" applyAlignment="1">
      <alignment horizontal="center"/>
    </xf>
    <xf numFmtId="165" fontId="0" fillId="4" borderId="10" xfId="4" applyNumberFormat="1" applyFont="1" applyFill="1" applyBorder="1" applyAlignment="1">
      <alignment horizontal="center"/>
    </xf>
    <xf numFmtId="14" fontId="9" fillId="4" borderId="13" xfId="5" applyNumberFormat="1" applyFont="1" applyFill="1" applyBorder="1" applyAlignment="1">
      <alignment horizontal="center"/>
    </xf>
    <xf numFmtId="164" fontId="0" fillId="4" borderId="9" xfId="5" applyNumberFormat="1" applyFont="1" applyFill="1" applyBorder="1" applyAlignment="1">
      <alignment horizontal="center"/>
    </xf>
    <xf numFmtId="164" fontId="9" fillId="4" borderId="14" xfId="5" applyNumberFormat="1" applyFont="1" applyFill="1" applyBorder="1" applyAlignment="1">
      <alignment horizontal="center"/>
    </xf>
    <xf numFmtId="164" fontId="0" fillId="4" borderId="10" xfId="0" applyNumberFormat="1" applyFill="1" applyBorder="1" applyAlignment="1">
      <alignment horizontal="center"/>
    </xf>
    <xf numFmtId="164" fontId="0" fillId="5" borderId="8" xfId="0" applyNumberFormat="1" applyFill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14" fontId="9" fillId="4" borderId="1" xfId="5" applyNumberFormat="1" applyFont="1" applyFill="1" applyBorder="1" applyAlignment="1">
      <alignment horizontal="center"/>
    </xf>
    <xf numFmtId="164" fontId="0" fillId="4" borderId="1" xfId="5" applyNumberFormat="1" applyFont="1" applyFill="1" applyBorder="1" applyAlignment="1">
      <alignment horizontal="center"/>
    </xf>
    <xf numFmtId="14" fontId="9" fillId="4" borderId="3" xfId="5" applyNumberFormat="1" applyFont="1" applyFill="1" applyBorder="1" applyAlignment="1">
      <alignment horizontal="center"/>
    </xf>
    <xf numFmtId="49" fontId="0" fillId="3" borderId="8" xfId="0" applyNumberFormat="1" applyFill="1" applyBorder="1" applyAlignment="1">
      <alignment horizontal="center"/>
    </xf>
    <xf numFmtId="164" fontId="9" fillId="4" borderId="0" xfId="5" applyNumberFormat="1" applyFont="1" applyFill="1" applyBorder="1" applyAlignment="1">
      <alignment horizontal="center"/>
    </xf>
    <xf numFmtId="14" fontId="9" fillId="4" borderId="0" xfId="5" applyNumberFormat="1" applyFont="1" applyFill="1" applyBorder="1" applyAlignment="1">
      <alignment horizontal="center"/>
    </xf>
    <xf numFmtId="164" fontId="0" fillId="4" borderId="0" xfId="5" applyNumberFormat="1" applyFont="1" applyFill="1" applyBorder="1" applyAlignment="1">
      <alignment horizontal="center"/>
    </xf>
    <xf numFmtId="164" fontId="9" fillId="4" borderId="8" xfId="5" applyNumberFormat="1" applyFont="1" applyFill="1" applyBorder="1" applyAlignment="1">
      <alignment horizontal="center"/>
    </xf>
    <xf numFmtId="164" fontId="9" fillId="4" borderId="10" xfId="5" applyNumberFormat="1" applyFont="1" applyFill="1" applyBorder="1" applyAlignment="1">
      <alignment horizontal="center"/>
    </xf>
    <xf numFmtId="14" fontId="9" fillId="4" borderId="10" xfId="5" applyNumberFormat="1" applyFont="1" applyFill="1" applyBorder="1" applyAlignment="1">
      <alignment horizontal="center"/>
    </xf>
    <xf numFmtId="164" fontId="0" fillId="4" borderId="10" xfId="5" applyNumberFormat="1" applyFont="1" applyFill="1" applyBorder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2" fillId="4" borderId="10" xfId="0" applyNumberFormat="1" applyFont="1" applyFill="1" applyBorder="1" applyAlignment="1">
      <alignment horizontal="center"/>
    </xf>
    <xf numFmtId="164" fontId="11" fillId="3" borderId="0" xfId="0" applyNumberFormat="1" applyFont="1" applyFill="1" applyAlignment="1">
      <alignment horizontal="center"/>
    </xf>
    <xf numFmtId="164" fontId="9" fillId="3" borderId="11" xfId="5" applyNumberFormat="1" applyFont="1" applyFill="1" applyBorder="1" applyAlignment="1">
      <alignment horizontal="center"/>
    </xf>
    <xf numFmtId="164" fontId="9" fillId="3" borderId="4" xfId="5" applyNumberFormat="1" applyFont="1" applyFill="1" applyBorder="1" applyAlignment="1">
      <alignment horizontal="center"/>
    </xf>
    <xf numFmtId="164" fontId="9" fillId="3" borderId="13" xfId="5" applyNumberFormat="1" applyFont="1" applyFill="1" applyBorder="1" applyAlignment="1">
      <alignment horizontal="center"/>
    </xf>
    <xf numFmtId="164" fontId="9" fillId="4" borderId="15" xfId="5" applyNumberFormat="1" applyFont="1" applyFill="1" applyBorder="1" applyAlignment="1">
      <alignment horizontal="center"/>
    </xf>
    <xf numFmtId="164" fontId="9" fillId="4" borderId="16" xfId="5" applyNumberFormat="1" applyFont="1" applyFill="1" applyBorder="1" applyAlignment="1">
      <alignment horizontal="center"/>
    </xf>
    <xf numFmtId="164" fontId="9" fillId="4" borderId="17" xfId="5" applyNumberFormat="1" applyFont="1" applyFill="1" applyBorder="1" applyAlignment="1">
      <alignment horizontal="center"/>
    </xf>
    <xf numFmtId="164" fontId="9" fillId="5" borderId="15" xfId="5" applyNumberFormat="1" applyFont="1" applyFill="1" applyBorder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9" fillId="3" borderId="0" xfId="5" applyNumberFormat="1" applyFont="1" applyFill="1" applyBorder="1" applyAlignment="1">
      <alignment horizontal="center"/>
    </xf>
  </cellXfs>
  <cellStyles count="6">
    <cellStyle name="Actividad" xfId="2" xr:uid="{4602AD21-8DDF-498D-828F-1F24CE28ED17}"/>
    <cellStyle name="Moneda" xfId="5" builtinId="4"/>
    <cellStyle name="Normal" xfId="0" builtinId="0"/>
    <cellStyle name="Normal 2" xfId="3" xr:uid="{5D665969-A9F0-41CD-8C58-D7C736B4AED1}"/>
    <cellStyle name="Normal 8" xfId="1" xr:uid="{F4EE9B49-2B36-4BD5-B732-7932F9B6391A}"/>
    <cellStyle name="Porcentaje" xfId="4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V123"/>
  <sheetViews>
    <sheetView tabSelected="1" zoomScale="140" zoomScaleNormal="140" workbookViewId="0">
      <pane ySplit="1" topLeftCell="A123" activePane="bottomLeft" state="frozen"/>
      <selection pane="bottomLeft" activeCell="E126" sqref="E126"/>
    </sheetView>
  </sheetViews>
  <sheetFormatPr baseColWidth="10" defaultColWidth="9.140625" defaultRowHeight="15" x14ac:dyDescent="0.25"/>
  <cols>
    <col min="1" max="1" width="5.7109375" style="1" bestFit="1" customWidth="1"/>
    <col min="2" max="2" width="11.7109375" style="1" bestFit="1" customWidth="1"/>
    <col min="3" max="3" width="13.28515625" style="1" bestFit="1" customWidth="1"/>
    <col min="4" max="4" width="8.85546875" style="1" bestFit="1" customWidth="1"/>
    <col min="5" max="5" width="15.85546875" style="1" bestFit="1" customWidth="1"/>
    <col min="6" max="6" width="14.42578125" style="4" customWidth="1"/>
    <col min="7" max="7" width="17" style="6" bestFit="1" customWidth="1"/>
    <col min="8" max="8" width="14.7109375" style="4" bestFit="1" customWidth="1"/>
    <col min="9" max="9" width="25.28515625" style="4" bestFit="1" customWidth="1"/>
    <col min="10" max="10" width="17.5703125" style="6" bestFit="1" customWidth="1"/>
    <col min="11" max="11" width="12.28515625" style="4" bestFit="1" customWidth="1"/>
    <col min="12" max="12" width="19.140625" style="4" bestFit="1" customWidth="1"/>
    <col min="13" max="13" width="15.140625" style="4" bestFit="1" customWidth="1"/>
    <col min="14" max="14" width="15.7109375" style="4" bestFit="1" customWidth="1"/>
    <col min="15" max="15" width="11.42578125" style="6" bestFit="1" customWidth="1"/>
    <col min="16" max="16" width="13.42578125" style="1" bestFit="1" customWidth="1"/>
    <col min="17" max="17" width="19.140625" style="1" bestFit="1" customWidth="1"/>
    <col min="18" max="18" width="18.140625" style="1" customWidth="1"/>
    <col min="19" max="19" width="17" style="1" bestFit="1" customWidth="1"/>
    <col min="20" max="20" width="13.28515625" style="1" bestFit="1" customWidth="1"/>
    <col min="21" max="21" width="6.7109375" style="1" bestFit="1" customWidth="1"/>
    <col min="22" max="22" width="15.28515625" style="1" bestFit="1" customWidth="1"/>
    <col min="23" max="16384" width="9.140625" style="1"/>
  </cols>
  <sheetData>
    <row r="1" spans="1:22" ht="15.75" thickBot="1" x14ac:dyDescent="0.3">
      <c r="A1" s="2" t="s">
        <v>66</v>
      </c>
      <c r="B1" s="2" t="s">
        <v>1</v>
      </c>
      <c r="C1" s="2" t="s">
        <v>11</v>
      </c>
      <c r="D1" s="2" t="s">
        <v>12</v>
      </c>
      <c r="E1" s="2" t="s">
        <v>24</v>
      </c>
      <c r="F1" s="3" t="s">
        <v>33</v>
      </c>
      <c r="G1" s="5" t="s">
        <v>58</v>
      </c>
      <c r="H1" s="3" t="s">
        <v>23</v>
      </c>
      <c r="I1" s="15" t="s">
        <v>35</v>
      </c>
      <c r="J1" s="7" t="s">
        <v>52</v>
      </c>
      <c r="K1" s="15" t="s">
        <v>45</v>
      </c>
      <c r="L1" s="7" t="s">
        <v>36</v>
      </c>
      <c r="M1" s="7" t="s">
        <v>53</v>
      </c>
      <c r="N1" s="7" t="s">
        <v>55</v>
      </c>
      <c r="O1" s="5" t="s">
        <v>34</v>
      </c>
      <c r="P1" s="2" t="s">
        <v>0</v>
      </c>
      <c r="Q1" s="2" t="s">
        <v>44</v>
      </c>
      <c r="R1" s="2" t="s">
        <v>16</v>
      </c>
      <c r="S1" s="2" t="s">
        <v>48</v>
      </c>
      <c r="T1" s="2" t="s">
        <v>17</v>
      </c>
      <c r="U1" s="2" t="s">
        <v>75</v>
      </c>
      <c r="V1" s="2" t="s">
        <v>90</v>
      </c>
    </row>
    <row r="2" spans="1:22" s="30" customFormat="1" ht="15.75" hidden="1" thickBot="1" x14ac:dyDescent="0.3">
      <c r="A2" s="47" t="s">
        <v>20</v>
      </c>
      <c r="B2" s="48">
        <v>3</v>
      </c>
      <c r="C2" s="48" t="s">
        <v>192</v>
      </c>
      <c r="D2" s="48" t="s">
        <v>198</v>
      </c>
      <c r="E2" s="48" t="s">
        <v>2</v>
      </c>
      <c r="F2" s="23">
        <v>2000000</v>
      </c>
      <c r="G2" s="49">
        <v>1</v>
      </c>
      <c r="H2" s="50">
        <v>1.4999999999999999E-2</v>
      </c>
      <c r="I2" s="14">
        <f>F2*H2</f>
        <v>30000</v>
      </c>
      <c r="J2" s="72">
        <v>45703</v>
      </c>
      <c r="K2" s="73" t="s">
        <v>3</v>
      </c>
      <c r="L2" s="14">
        <f>($F$2/5)+I2</f>
        <v>430000</v>
      </c>
      <c r="M2" s="48" t="s">
        <v>194</v>
      </c>
      <c r="N2" s="14">
        <f>L2</f>
        <v>430000</v>
      </c>
      <c r="O2" s="54">
        <f t="shared" ref="O2:O33" si="0">F2-L2</f>
        <v>1570000</v>
      </c>
      <c r="P2" s="48">
        <v>1</v>
      </c>
      <c r="Q2" s="48" t="s">
        <v>19</v>
      </c>
      <c r="R2" s="48" t="s">
        <v>22</v>
      </c>
      <c r="S2" s="48">
        <v>2014</v>
      </c>
      <c r="T2" s="48" t="s">
        <v>57</v>
      </c>
      <c r="U2" s="48" t="s">
        <v>76</v>
      </c>
      <c r="V2" s="30" t="s">
        <v>91</v>
      </c>
    </row>
    <row r="3" spans="1:22" ht="15.75" hidden="1" thickBot="1" x14ac:dyDescent="0.3">
      <c r="A3" s="55" t="s">
        <v>21</v>
      </c>
      <c r="B3" s="56">
        <v>3</v>
      </c>
      <c r="C3" s="56" t="s">
        <v>192</v>
      </c>
      <c r="D3" s="56" t="s">
        <v>198</v>
      </c>
      <c r="E3" s="56">
        <v>0</v>
      </c>
      <c r="F3" s="60">
        <f>O2</f>
        <v>1570000</v>
      </c>
      <c r="G3" s="58">
        <v>2</v>
      </c>
      <c r="H3" s="59">
        <v>1.4999999999999999E-2</v>
      </c>
      <c r="I3" s="8">
        <f t="shared" ref="I3:I14" si="1">F3*H3</f>
        <v>23550</v>
      </c>
      <c r="J3" s="16">
        <v>45730</v>
      </c>
      <c r="K3" s="11" t="s">
        <v>4</v>
      </c>
      <c r="L3" s="8">
        <f>($F$2/5)+I3</f>
        <v>423550</v>
      </c>
      <c r="M3" s="48" t="s">
        <v>194</v>
      </c>
      <c r="N3" s="8">
        <f>L3</f>
        <v>423550</v>
      </c>
      <c r="O3" s="60">
        <f t="shared" si="0"/>
        <v>1146450</v>
      </c>
      <c r="P3" s="56">
        <v>1</v>
      </c>
      <c r="Q3" s="56" t="s">
        <v>19</v>
      </c>
      <c r="R3" s="58">
        <v>174196893193700</v>
      </c>
      <c r="S3" s="56">
        <v>2014</v>
      </c>
      <c r="T3" s="56"/>
      <c r="U3" s="56" t="s">
        <v>76</v>
      </c>
      <c r="V3" s="1" t="s">
        <v>91</v>
      </c>
    </row>
    <row r="4" spans="1:22" ht="15.75" hidden="1" thickBot="1" x14ac:dyDescent="0.3">
      <c r="A4" s="55" t="s">
        <v>25</v>
      </c>
      <c r="B4" s="56">
        <v>3</v>
      </c>
      <c r="C4" s="56" t="s">
        <v>192</v>
      </c>
      <c r="D4" s="56" t="s">
        <v>198</v>
      </c>
      <c r="E4" s="56">
        <v>0</v>
      </c>
      <c r="F4" s="60">
        <f t="shared" ref="F4:F6" si="2">O3</f>
        <v>1146450</v>
      </c>
      <c r="G4" s="58">
        <v>3</v>
      </c>
      <c r="H4" s="59">
        <v>1.4999999999999999E-2</v>
      </c>
      <c r="I4" s="8">
        <f t="shared" si="1"/>
        <v>17196.75</v>
      </c>
      <c r="J4" s="16">
        <v>45761</v>
      </c>
      <c r="K4" s="11" t="s">
        <v>5</v>
      </c>
      <c r="L4" s="8">
        <f>($F$2/5)+I4</f>
        <v>417196.75</v>
      </c>
      <c r="M4" s="48" t="s">
        <v>194</v>
      </c>
      <c r="N4" s="8">
        <v>418000</v>
      </c>
      <c r="O4" s="60">
        <f t="shared" si="0"/>
        <v>729253.25</v>
      </c>
      <c r="P4" s="56">
        <v>1</v>
      </c>
      <c r="Q4" s="56" t="s">
        <v>19</v>
      </c>
      <c r="R4" s="58">
        <v>1744763560463</v>
      </c>
      <c r="S4" s="56">
        <v>2014</v>
      </c>
      <c r="T4" s="56"/>
      <c r="U4" s="56" t="s">
        <v>76</v>
      </c>
      <c r="V4" s="1" t="s">
        <v>91</v>
      </c>
    </row>
    <row r="5" spans="1:22" ht="15.75" hidden="1" thickBot="1" x14ac:dyDescent="0.3">
      <c r="A5" s="55" t="s">
        <v>26</v>
      </c>
      <c r="B5" s="56">
        <v>3</v>
      </c>
      <c r="C5" s="56" t="s">
        <v>192</v>
      </c>
      <c r="D5" s="56" t="s">
        <v>198</v>
      </c>
      <c r="E5" s="56">
        <v>0</v>
      </c>
      <c r="F5" s="60">
        <f t="shared" si="2"/>
        <v>729253.25</v>
      </c>
      <c r="G5" s="58">
        <v>4</v>
      </c>
      <c r="H5" s="59">
        <v>1.4999999999999999E-2</v>
      </c>
      <c r="I5" s="8">
        <f t="shared" si="1"/>
        <v>10938.79875</v>
      </c>
      <c r="J5" s="16">
        <v>45791</v>
      </c>
      <c r="K5" s="11" t="s">
        <v>6</v>
      </c>
      <c r="L5" s="8">
        <f>($F$2/5)+I5</f>
        <v>410938.79875000002</v>
      </c>
      <c r="M5" s="48" t="s">
        <v>194</v>
      </c>
      <c r="N5" s="8">
        <v>410938.79875000002</v>
      </c>
      <c r="O5" s="60">
        <f t="shared" si="0"/>
        <v>318314.45124999998</v>
      </c>
      <c r="P5" s="56">
        <v>1</v>
      </c>
      <c r="Q5" s="56" t="s">
        <v>19</v>
      </c>
      <c r="R5" s="58">
        <v>174725813972154</v>
      </c>
      <c r="S5" s="56">
        <v>2014</v>
      </c>
      <c r="T5" s="56"/>
      <c r="U5" s="56" t="s">
        <v>76</v>
      </c>
      <c r="V5" s="1" t="s">
        <v>91</v>
      </c>
    </row>
    <row r="6" spans="1:22" s="46" customFormat="1" ht="15.75" hidden="1" thickBot="1" x14ac:dyDescent="0.3">
      <c r="A6" s="61" t="s">
        <v>27</v>
      </c>
      <c r="B6" s="62">
        <v>3</v>
      </c>
      <c r="C6" s="62" t="s">
        <v>192</v>
      </c>
      <c r="D6" s="62" t="s">
        <v>198</v>
      </c>
      <c r="E6" s="62">
        <v>0</v>
      </c>
      <c r="F6" s="69">
        <f t="shared" si="2"/>
        <v>318314.45124999998</v>
      </c>
      <c r="G6" s="64">
        <v>5</v>
      </c>
      <c r="H6" s="65">
        <v>1.4999999999999999E-2</v>
      </c>
      <c r="I6" s="10">
        <f t="shared" si="1"/>
        <v>4774.7167687499996</v>
      </c>
      <c r="J6" s="74">
        <v>45822</v>
      </c>
      <c r="K6" s="13" t="s">
        <v>7</v>
      </c>
      <c r="L6" s="10">
        <f>($F$2/5)+I6</f>
        <v>404774.71676874999</v>
      </c>
      <c r="M6" s="48" t="s">
        <v>194</v>
      </c>
      <c r="N6" s="10">
        <v>403971</v>
      </c>
      <c r="O6" s="45">
        <f t="shared" si="0"/>
        <v>-86460.265518750006</v>
      </c>
      <c r="P6" s="62">
        <v>1</v>
      </c>
      <c r="Q6" s="56" t="s">
        <v>19</v>
      </c>
      <c r="R6" s="64">
        <v>174983392076541</v>
      </c>
      <c r="S6" s="56">
        <v>2014</v>
      </c>
      <c r="T6" s="62" t="s">
        <v>56</v>
      </c>
      <c r="U6" s="62" t="s">
        <v>76</v>
      </c>
      <c r="V6" s="1" t="s">
        <v>91</v>
      </c>
    </row>
    <row r="7" spans="1:22" s="30" customFormat="1" ht="15.75" hidden="1" thickBot="1" x14ac:dyDescent="0.3">
      <c r="A7" s="21" t="s">
        <v>28</v>
      </c>
      <c r="B7" s="22">
        <v>20</v>
      </c>
      <c r="C7" s="22" t="s">
        <v>199</v>
      </c>
      <c r="D7" s="22" t="s">
        <v>198</v>
      </c>
      <c r="E7" s="22" t="s">
        <v>2</v>
      </c>
      <c r="F7" s="23">
        <v>4000000</v>
      </c>
      <c r="G7" s="24">
        <v>1</v>
      </c>
      <c r="H7" s="25">
        <v>1.4999999999999999E-2</v>
      </c>
      <c r="I7" s="26">
        <f t="shared" si="1"/>
        <v>60000</v>
      </c>
      <c r="J7" s="27">
        <v>45726</v>
      </c>
      <c r="K7" s="28" t="s">
        <v>4</v>
      </c>
      <c r="L7" s="26">
        <f t="shared" ref="L7:L14" si="3">($F$7/8)+I7</f>
        <v>560000</v>
      </c>
      <c r="M7" s="48" t="s">
        <v>194</v>
      </c>
      <c r="N7" s="26">
        <v>560000</v>
      </c>
      <c r="O7" s="29">
        <f t="shared" si="0"/>
        <v>3440000</v>
      </c>
      <c r="P7" s="22">
        <v>1</v>
      </c>
      <c r="Q7" s="22" t="s">
        <v>18</v>
      </c>
      <c r="R7" s="75"/>
      <c r="S7" s="22">
        <v>6438</v>
      </c>
      <c r="T7" s="22" t="s">
        <v>57</v>
      </c>
      <c r="U7" s="22" t="s">
        <v>77</v>
      </c>
      <c r="V7" s="30" t="s">
        <v>91</v>
      </c>
    </row>
    <row r="8" spans="1:22" ht="15.75" hidden="1" thickBot="1" x14ac:dyDescent="0.3">
      <c r="A8" s="31" t="s">
        <v>29</v>
      </c>
      <c r="B8" s="32">
        <v>20</v>
      </c>
      <c r="C8" s="32" t="s">
        <v>199</v>
      </c>
      <c r="D8" s="32" t="s">
        <v>198</v>
      </c>
      <c r="E8" s="32">
        <v>0</v>
      </c>
      <c r="F8" s="36">
        <f>O7</f>
        <v>3440000</v>
      </c>
      <c r="G8" s="34">
        <v>2</v>
      </c>
      <c r="H8" s="35">
        <v>1.4999999999999999E-2</v>
      </c>
      <c r="I8" s="9">
        <f t="shared" si="1"/>
        <v>51600</v>
      </c>
      <c r="J8" s="17">
        <v>45757</v>
      </c>
      <c r="K8" s="12" t="s">
        <v>5</v>
      </c>
      <c r="L8" s="9">
        <f t="shared" si="3"/>
        <v>551600</v>
      </c>
      <c r="M8" s="48" t="s">
        <v>194</v>
      </c>
      <c r="N8" s="9">
        <v>551600</v>
      </c>
      <c r="O8" s="36">
        <f t="shared" si="0"/>
        <v>2888400</v>
      </c>
      <c r="P8" s="32">
        <v>1</v>
      </c>
      <c r="Q8" s="32" t="s">
        <v>18</v>
      </c>
      <c r="R8" s="32">
        <v>13156</v>
      </c>
      <c r="S8" s="32">
        <v>8751</v>
      </c>
      <c r="T8" s="32"/>
      <c r="U8" s="32" t="s">
        <v>77</v>
      </c>
      <c r="V8" s="1" t="s">
        <v>91</v>
      </c>
    </row>
    <row r="9" spans="1:22" ht="15.75" hidden="1" thickBot="1" x14ac:dyDescent="0.3">
      <c r="A9" s="31" t="s">
        <v>30</v>
      </c>
      <c r="B9" s="32">
        <v>20</v>
      </c>
      <c r="C9" s="32" t="s">
        <v>199</v>
      </c>
      <c r="D9" s="32" t="s">
        <v>198</v>
      </c>
      <c r="E9" s="32">
        <v>0</v>
      </c>
      <c r="F9" s="36">
        <f t="shared" ref="F9:F14" si="4">O8</f>
        <v>2888400</v>
      </c>
      <c r="G9" s="34">
        <v>3</v>
      </c>
      <c r="H9" s="35">
        <v>1.4999999999999999E-2</v>
      </c>
      <c r="I9" s="9">
        <f t="shared" si="1"/>
        <v>43326</v>
      </c>
      <c r="J9" s="17">
        <v>45787</v>
      </c>
      <c r="K9" s="12" t="s">
        <v>6</v>
      </c>
      <c r="L9" s="9">
        <f t="shared" si="3"/>
        <v>543326</v>
      </c>
      <c r="M9" s="48" t="s">
        <v>194</v>
      </c>
      <c r="N9" s="9">
        <v>543326</v>
      </c>
      <c r="O9" s="36">
        <f t="shared" si="0"/>
        <v>2345074</v>
      </c>
      <c r="P9" s="32">
        <v>1</v>
      </c>
      <c r="Q9" s="32" t="s">
        <v>18</v>
      </c>
      <c r="R9" s="32">
        <v>92353</v>
      </c>
      <c r="S9" s="32">
        <v>8751</v>
      </c>
      <c r="T9" s="32"/>
      <c r="U9" s="32" t="s">
        <v>77</v>
      </c>
      <c r="V9" s="1" t="s">
        <v>91</v>
      </c>
    </row>
    <row r="10" spans="1:22" ht="15.75" hidden="1" thickBot="1" x14ac:dyDescent="0.3">
      <c r="A10" s="31" t="s">
        <v>31</v>
      </c>
      <c r="B10" s="32">
        <v>20</v>
      </c>
      <c r="C10" s="32" t="s">
        <v>199</v>
      </c>
      <c r="D10" s="32" t="s">
        <v>198</v>
      </c>
      <c r="E10" s="32">
        <v>0</v>
      </c>
      <c r="F10" s="36">
        <f t="shared" si="4"/>
        <v>2345074</v>
      </c>
      <c r="G10" s="34">
        <v>4</v>
      </c>
      <c r="H10" s="35">
        <v>1.4999999999999999E-2</v>
      </c>
      <c r="I10" s="9">
        <f t="shared" si="1"/>
        <v>35176.11</v>
      </c>
      <c r="J10" s="17">
        <v>45818</v>
      </c>
      <c r="K10" s="12" t="s">
        <v>7</v>
      </c>
      <c r="L10" s="9">
        <f t="shared" si="3"/>
        <v>535176.11</v>
      </c>
      <c r="M10" s="48" t="s">
        <v>194</v>
      </c>
      <c r="N10" s="9">
        <v>535176.11</v>
      </c>
      <c r="O10" s="36">
        <f t="shared" si="0"/>
        <v>1809897.8900000001</v>
      </c>
      <c r="P10" s="32">
        <v>1</v>
      </c>
      <c r="Q10" s="32" t="s">
        <v>18</v>
      </c>
      <c r="R10" s="32">
        <v>17354</v>
      </c>
      <c r="S10" s="32">
        <v>8751</v>
      </c>
      <c r="T10" s="32"/>
      <c r="U10" s="32" t="s">
        <v>77</v>
      </c>
      <c r="V10" s="1" t="s">
        <v>91</v>
      </c>
    </row>
    <row r="11" spans="1:22" ht="15.75" hidden="1" thickBot="1" x14ac:dyDescent="0.3">
      <c r="A11" s="31" t="s">
        <v>32</v>
      </c>
      <c r="B11" s="32">
        <v>20</v>
      </c>
      <c r="C11" s="32" t="s">
        <v>199</v>
      </c>
      <c r="D11" s="32" t="s">
        <v>198</v>
      </c>
      <c r="E11" s="32">
        <v>0</v>
      </c>
      <c r="F11" s="36">
        <f t="shared" si="4"/>
        <v>1809897.8900000001</v>
      </c>
      <c r="G11" s="34">
        <v>5</v>
      </c>
      <c r="H11" s="35">
        <v>1.4999999999999999E-2</v>
      </c>
      <c r="I11" s="9">
        <f t="shared" si="1"/>
        <v>27148.468349999999</v>
      </c>
      <c r="J11" s="17">
        <v>45848</v>
      </c>
      <c r="K11" s="12" t="s">
        <v>8</v>
      </c>
      <c r="L11" s="9">
        <f t="shared" si="3"/>
        <v>527148.46834999998</v>
      </c>
      <c r="M11" s="48" t="s">
        <v>194</v>
      </c>
      <c r="N11" s="9">
        <v>527148</v>
      </c>
      <c r="O11" s="36">
        <f t="shared" si="0"/>
        <v>1282749.4216500001</v>
      </c>
      <c r="P11" s="32">
        <v>1</v>
      </c>
      <c r="Q11" s="32" t="s">
        <v>18</v>
      </c>
      <c r="R11" s="32">
        <v>25331</v>
      </c>
      <c r="S11" s="32">
        <v>8751</v>
      </c>
      <c r="T11" s="32"/>
      <c r="U11" s="32" t="s">
        <v>77</v>
      </c>
      <c r="V11" s="1" t="s">
        <v>91</v>
      </c>
    </row>
    <row r="12" spans="1:22" ht="15.75" hidden="1" thickBot="1" x14ac:dyDescent="0.3">
      <c r="A12" s="31" t="s">
        <v>37</v>
      </c>
      <c r="B12" s="32">
        <v>20</v>
      </c>
      <c r="C12" s="32" t="s">
        <v>199</v>
      </c>
      <c r="D12" s="32" t="s">
        <v>198</v>
      </c>
      <c r="E12" s="32">
        <v>0</v>
      </c>
      <c r="F12" s="36">
        <f t="shared" si="4"/>
        <v>1282749.4216500001</v>
      </c>
      <c r="G12" s="34">
        <v>6</v>
      </c>
      <c r="H12" s="35">
        <v>1.4999999999999999E-2</v>
      </c>
      <c r="I12" s="9">
        <f t="shared" si="1"/>
        <v>19241.241324750001</v>
      </c>
      <c r="J12" s="17">
        <v>45879</v>
      </c>
      <c r="K12" s="12" t="s">
        <v>9</v>
      </c>
      <c r="L12" s="9">
        <f t="shared" si="3"/>
        <v>519241.24132475001</v>
      </c>
      <c r="M12" s="48" t="s">
        <v>194</v>
      </c>
      <c r="N12" s="9">
        <v>519241.24132475001</v>
      </c>
      <c r="O12" s="36">
        <f t="shared" si="0"/>
        <v>763508.18032525014</v>
      </c>
      <c r="P12" s="32">
        <v>1</v>
      </c>
      <c r="Q12" s="32" t="s">
        <v>18</v>
      </c>
      <c r="R12" s="32">
        <v>10304</v>
      </c>
      <c r="S12" s="32">
        <v>8751</v>
      </c>
      <c r="T12" s="32"/>
      <c r="U12" s="32" t="s">
        <v>77</v>
      </c>
      <c r="V12" s="1" t="s">
        <v>91</v>
      </c>
    </row>
    <row r="13" spans="1:22" ht="15.75" hidden="1" thickBot="1" x14ac:dyDescent="0.3">
      <c r="A13" s="31" t="s">
        <v>38</v>
      </c>
      <c r="B13" s="32">
        <v>20</v>
      </c>
      <c r="C13" s="32" t="s">
        <v>199</v>
      </c>
      <c r="D13" s="32" t="s">
        <v>198</v>
      </c>
      <c r="E13" s="32">
        <v>0</v>
      </c>
      <c r="F13" s="36">
        <f t="shared" si="4"/>
        <v>763508.18032525014</v>
      </c>
      <c r="G13" s="34">
        <v>7</v>
      </c>
      <c r="H13" s="35">
        <v>1.4999999999999999E-2</v>
      </c>
      <c r="I13" s="9">
        <f t="shared" si="1"/>
        <v>11452.622704878751</v>
      </c>
      <c r="J13" s="17">
        <v>45910</v>
      </c>
      <c r="K13" s="12" t="s">
        <v>10</v>
      </c>
      <c r="L13" s="9">
        <f t="shared" si="3"/>
        <v>511452.62270487874</v>
      </c>
      <c r="M13" s="48" t="s">
        <v>194</v>
      </c>
      <c r="N13" s="9">
        <v>511452.62270487874</v>
      </c>
      <c r="O13" s="36">
        <f t="shared" si="0"/>
        <v>252055.5576203714</v>
      </c>
      <c r="P13" s="32">
        <v>1</v>
      </c>
      <c r="Q13" s="32" t="s">
        <v>18</v>
      </c>
      <c r="R13" s="32">
        <v>24903</v>
      </c>
      <c r="S13" s="32">
        <v>8751</v>
      </c>
      <c r="T13" s="32"/>
      <c r="U13" s="32" t="s">
        <v>77</v>
      </c>
      <c r="V13" s="1" t="s">
        <v>91</v>
      </c>
    </row>
    <row r="14" spans="1:22" s="46" customFormat="1" ht="15.75" hidden="1" thickBot="1" x14ac:dyDescent="0.3">
      <c r="A14" s="37" t="s">
        <v>39</v>
      </c>
      <c r="B14" s="38">
        <v>20</v>
      </c>
      <c r="C14" s="38" t="s">
        <v>199</v>
      </c>
      <c r="D14" s="38" t="s">
        <v>198</v>
      </c>
      <c r="E14" s="38">
        <v>0</v>
      </c>
      <c r="F14" s="71">
        <f t="shared" si="4"/>
        <v>252055.5576203714</v>
      </c>
      <c r="G14" s="40">
        <v>8</v>
      </c>
      <c r="H14" s="41">
        <v>1.4999999999999999E-2</v>
      </c>
      <c r="I14" s="42">
        <f t="shared" si="1"/>
        <v>3780.8333643055707</v>
      </c>
      <c r="J14" s="43">
        <v>45940</v>
      </c>
      <c r="K14" s="44" t="s">
        <v>13</v>
      </c>
      <c r="L14" s="42">
        <f t="shared" si="3"/>
        <v>503780.83336430555</v>
      </c>
      <c r="M14" s="48" t="s">
        <v>194</v>
      </c>
      <c r="N14" s="42">
        <v>503781</v>
      </c>
      <c r="O14" s="45">
        <f t="shared" si="0"/>
        <v>-251725.27574393415</v>
      </c>
      <c r="P14" s="38">
        <v>1</v>
      </c>
      <c r="Q14" s="38" t="s">
        <v>18</v>
      </c>
      <c r="R14" s="38">
        <v>45693</v>
      </c>
      <c r="S14" s="32">
        <v>8751</v>
      </c>
      <c r="T14" s="38" t="s">
        <v>56</v>
      </c>
      <c r="U14" s="38" t="s">
        <v>77</v>
      </c>
      <c r="V14" s="1" t="s">
        <v>91</v>
      </c>
    </row>
    <row r="15" spans="1:22" s="30" customFormat="1" ht="15.75" hidden="1" thickBot="1" x14ac:dyDescent="0.3">
      <c r="A15" s="47" t="s">
        <v>40</v>
      </c>
      <c r="B15" s="48">
        <v>5</v>
      </c>
      <c r="C15" s="48" t="s">
        <v>200</v>
      </c>
      <c r="D15" s="48" t="s">
        <v>201</v>
      </c>
      <c r="E15" s="48" t="s">
        <v>3</v>
      </c>
      <c r="F15" s="23">
        <v>1200000</v>
      </c>
      <c r="G15" s="49">
        <v>1</v>
      </c>
      <c r="H15" s="50">
        <v>1.4999999999999999E-2</v>
      </c>
      <c r="I15" s="14">
        <f>F15*H15</f>
        <v>18000</v>
      </c>
      <c r="J15" s="72">
        <v>45718</v>
      </c>
      <c r="K15" s="73" t="s">
        <v>4</v>
      </c>
      <c r="L15" s="14">
        <f>(F15/4)+I15</f>
        <v>318000</v>
      </c>
      <c r="M15" s="48" t="s">
        <v>194</v>
      </c>
      <c r="N15" s="14">
        <v>318000</v>
      </c>
      <c r="O15" s="54">
        <f t="shared" si="0"/>
        <v>882000</v>
      </c>
      <c r="P15" s="48">
        <v>1</v>
      </c>
      <c r="Q15" s="48" t="s">
        <v>47</v>
      </c>
      <c r="R15" s="48" t="s">
        <v>46</v>
      </c>
      <c r="S15" s="48">
        <v>3115926752</v>
      </c>
      <c r="T15" s="48" t="s">
        <v>57</v>
      </c>
      <c r="U15" s="48" t="s">
        <v>78</v>
      </c>
      <c r="V15" s="30" t="s">
        <v>91</v>
      </c>
    </row>
    <row r="16" spans="1:22" ht="15.75" hidden="1" thickBot="1" x14ac:dyDescent="0.3">
      <c r="A16" s="55" t="s">
        <v>41</v>
      </c>
      <c r="B16" s="56">
        <v>5</v>
      </c>
      <c r="C16" s="56" t="s">
        <v>200</v>
      </c>
      <c r="D16" s="56" t="s">
        <v>201</v>
      </c>
      <c r="E16" s="56">
        <v>0</v>
      </c>
      <c r="F16" s="60">
        <f>O15</f>
        <v>882000</v>
      </c>
      <c r="G16" s="58">
        <v>2</v>
      </c>
      <c r="H16" s="59">
        <v>1.4999999999999999E-2</v>
      </c>
      <c r="I16" s="8">
        <f t="shared" ref="I16:I18" si="5">F16*H16</f>
        <v>13230</v>
      </c>
      <c r="J16" s="16">
        <v>45757</v>
      </c>
      <c r="K16" s="11" t="s">
        <v>5</v>
      </c>
      <c r="L16" s="8">
        <f>(F15/4)+I16</f>
        <v>313230</v>
      </c>
      <c r="M16" s="48" t="s">
        <v>194</v>
      </c>
      <c r="N16" s="8">
        <v>313400</v>
      </c>
      <c r="O16" s="60">
        <f t="shared" si="0"/>
        <v>568770</v>
      </c>
      <c r="P16" s="56">
        <v>1</v>
      </c>
      <c r="Q16" s="56" t="s">
        <v>47</v>
      </c>
      <c r="R16" s="56"/>
      <c r="S16" s="56">
        <v>3115926752</v>
      </c>
      <c r="T16" s="56"/>
      <c r="U16" s="56" t="s">
        <v>78</v>
      </c>
      <c r="V16" s="1" t="s">
        <v>91</v>
      </c>
    </row>
    <row r="17" spans="1:22" ht="15.75" hidden="1" thickBot="1" x14ac:dyDescent="0.3">
      <c r="A17" s="55" t="s">
        <v>42</v>
      </c>
      <c r="B17" s="56">
        <v>5</v>
      </c>
      <c r="C17" s="56" t="s">
        <v>200</v>
      </c>
      <c r="D17" s="56" t="s">
        <v>201</v>
      </c>
      <c r="E17" s="56">
        <v>0</v>
      </c>
      <c r="F17" s="60">
        <f>O16</f>
        <v>568770</v>
      </c>
      <c r="G17" s="58">
        <v>3</v>
      </c>
      <c r="H17" s="59">
        <v>1.4999999999999999E-2</v>
      </c>
      <c r="I17" s="8">
        <f t="shared" si="5"/>
        <v>8531.5499999999993</v>
      </c>
      <c r="J17" s="16">
        <v>45787</v>
      </c>
      <c r="K17" s="11" t="s">
        <v>6</v>
      </c>
      <c r="L17" s="8">
        <f>(F15/4)+I17</f>
        <v>308531.55</v>
      </c>
      <c r="M17" s="48" t="s">
        <v>194</v>
      </c>
      <c r="N17" s="8">
        <v>308531.55</v>
      </c>
      <c r="O17" s="60">
        <f t="shared" si="0"/>
        <v>260238.45</v>
      </c>
      <c r="P17" s="56">
        <v>1</v>
      </c>
      <c r="Q17" s="56" t="s">
        <v>47</v>
      </c>
      <c r="R17" s="56"/>
      <c r="S17" s="56">
        <v>3115926752</v>
      </c>
      <c r="T17" s="56"/>
      <c r="U17" s="56" t="s">
        <v>78</v>
      </c>
      <c r="V17" s="1" t="s">
        <v>91</v>
      </c>
    </row>
    <row r="18" spans="1:22" s="46" customFormat="1" ht="15.75" hidden="1" thickBot="1" x14ac:dyDescent="0.3">
      <c r="A18" s="61" t="s">
        <v>43</v>
      </c>
      <c r="B18" s="62">
        <v>5</v>
      </c>
      <c r="C18" s="62" t="s">
        <v>200</v>
      </c>
      <c r="D18" s="62" t="s">
        <v>201</v>
      </c>
      <c r="E18" s="62">
        <v>0</v>
      </c>
      <c r="F18" s="69">
        <f>O17</f>
        <v>260238.45</v>
      </c>
      <c r="G18" s="64">
        <v>4</v>
      </c>
      <c r="H18" s="65">
        <v>1.4999999999999999E-2</v>
      </c>
      <c r="I18" s="10">
        <f t="shared" si="5"/>
        <v>3903.5767500000002</v>
      </c>
      <c r="J18" s="74">
        <v>45818</v>
      </c>
      <c r="K18" s="13" t="s">
        <v>7</v>
      </c>
      <c r="L18" s="10">
        <f>(F15/4)+I18</f>
        <v>303903.57675000001</v>
      </c>
      <c r="M18" s="48" t="s">
        <v>194</v>
      </c>
      <c r="N18" s="10">
        <v>303903.57675000001</v>
      </c>
      <c r="O18" s="45">
        <f t="shared" si="0"/>
        <v>-43665.126749999996</v>
      </c>
      <c r="P18" s="62">
        <v>1</v>
      </c>
      <c r="Q18" s="62" t="s">
        <v>47</v>
      </c>
      <c r="R18" s="62"/>
      <c r="S18" s="62">
        <v>3115926752</v>
      </c>
      <c r="T18" s="62" t="s">
        <v>56</v>
      </c>
      <c r="U18" s="62" t="s">
        <v>78</v>
      </c>
      <c r="V18" s="46" t="s">
        <v>91</v>
      </c>
    </row>
    <row r="19" spans="1:22" s="30" customFormat="1" ht="15.75" hidden="1" thickBot="1" x14ac:dyDescent="0.3">
      <c r="A19" s="21" t="s">
        <v>49</v>
      </c>
      <c r="B19" s="22">
        <v>2</v>
      </c>
      <c r="C19" s="22" t="s">
        <v>202</v>
      </c>
      <c r="D19" s="22" t="s">
        <v>198</v>
      </c>
      <c r="E19" s="22" t="s">
        <v>3</v>
      </c>
      <c r="F19" s="23">
        <v>2000000</v>
      </c>
      <c r="G19" s="24">
        <v>1</v>
      </c>
      <c r="H19" s="25">
        <v>1.4999999999999999E-2</v>
      </c>
      <c r="I19" s="26">
        <f t="shared" ref="I19:I20" si="6">F19*H19</f>
        <v>30000</v>
      </c>
      <c r="J19" s="27">
        <v>45726</v>
      </c>
      <c r="K19" s="28" t="s">
        <v>4</v>
      </c>
      <c r="L19" s="26">
        <f>(F19/2)+I19</f>
        <v>1030000</v>
      </c>
      <c r="M19" s="48" t="s">
        <v>194</v>
      </c>
      <c r="N19" s="26">
        <v>1030000</v>
      </c>
      <c r="O19" s="70">
        <f t="shared" si="0"/>
        <v>970000</v>
      </c>
      <c r="P19" s="22">
        <v>1</v>
      </c>
      <c r="Q19" s="22" t="s">
        <v>51</v>
      </c>
      <c r="R19" s="22">
        <v>654912</v>
      </c>
      <c r="S19" s="22">
        <v>8600</v>
      </c>
      <c r="T19" s="22" t="s">
        <v>57</v>
      </c>
      <c r="U19" s="22" t="s">
        <v>79</v>
      </c>
      <c r="V19" s="30" t="s">
        <v>91</v>
      </c>
    </row>
    <row r="20" spans="1:22" s="46" customFormat="1" ht="15.75" hidden="1" thickBot="1" x14ac:dyDescent="0.3">
      <c r="A20" s="37" t="s">
        <v>50</v>
      </c>
      <c r="B20" s="38">
        <v>2</v>
      </c>
      <c r="C20" s="38" t="s">
        <v>202</v>
      </c>
      <c r="D20" s="38" t="s">
        <v>198</v>
      </c>
      <c r="E20" s="38">
        <v>0</v>
      </c>
      <c r="F20" s="71">
        <f>O19</f>
        <v>970000</v>
      </c>
      <c r="G20" s="40">
        <v>2</v>
      </c>
      <c r="H20" s="41">
        <v>1.4999999999999999E-2</v>
      </c>
      <c r="I20" s="42">
        <f t="shared" si="6"/>
        <v>14550</v>
      </c>
      <c r="J20" s="43">
        <v>45757</v>
      </c>
      <c r="K20" s="44" t="s">
        <v>5</v>
      </c>
      <c r="L20" s="42">
        <f>(F19/2)+I20</f>
        <v>1014550</v>
      </c>
      <c r="M20" s="48" t="s">
        <v>194</v>
      </c>
      <c r="N20" s="42">
        <v>1014550</v>
      </c>
      <c r="O20" s="45">
        <f t="shared" si="0"/>
        <v>-44550</v>
      </c>
      <c r="P20" s="38">
        <v>1</v>
      </c>
      <c r="Q20" s="38" t="s">
        <v>51</v>
      </c>
      <c r="R20" s="38">
        <v>3051629</v>
      </c>
      <c r="S20" s="38">
        <v>8600</v>
      </c>
      <c r="T20" s="38" t="s">
        <v>56</v>
      </c>
      <c r="U20" s="38" t="s">
        <v>79</v>
      </c>
      <c r="V20" s="46" t="s">
        <v>91</v>
      </c>
    </row>
    <row r="21" spans="1:22" s="30" customFormat="1" ht="15.75" hidden="1" thickBot="1" x14ac:dyDescent="0.3">
      <c r="A21" s="47" t="s">
        <v>59</v>
      </c>
      <c r="B21" s="48">
        <v>5</v>
      </c>
      <c r="C21" s="48" t="s">
        <v>200</v>
      </c>
      <c r="D21" s="48" t="s">
        <v>201</v>
      </c>
      <c r="E21" s="48" t="s">
        <v>6</v>
      </c>
      <c r="F21" s="23">
        <v>3000000</v>
      </c>
      <c r="G21" s="49">
        <v>1</v>
      </c>
      <c r="H21" s="50">
        <v>1.4999999999999999E-2</v>
      </c>
      <c r="I21" s="14">
        <f>F21*H21</f>
        <v>45000</v>
      </c>
      <c r="J21" s="51">
        <v>45818</v>
      </c>
      <c r="K21" s="52" t="s">
        <v>7</v>
      </c>
      <c r="L21" s="14">
        <f>($F$21/7)+I21</f>
        <v>473571.42857142858</v>
      </c>
      <c r="M21" s="48" t="s">
        <v>194</v>
      </c>
      <c r="N21" s="89">
        <v>473600</v>
      </c>
      <c r="O21" s="54">
        <f t="shared" si="0"/>
        <v>2526428.5714285714</v>
      </c>
      <c r="P21" s="48">
        <v>1</v>
      </c>
      <c r="Q21" s="48" t="s">
        <v>47</v>
      </c>
      <c r="R21" s="48"/>
      <c r="S21" s="48"/>
      <c r="T21" s="48" t="s">
        <v>57</v>
      </c>
      <c r="U21" s="48" t="s">
        <v>80</v>
      </c>
      <c r="V21" s="30" t="s">
        <v>91</v>
      </c>
    </row>
    <row r="22" spans="1:22" ht="15.75" hidden="1" thickBot="1" x14ac:dyDescent="0.3">
      <c r="A22" s="55" t="s">
        <v>60</v>
      </c>
      <c r="B22" s="56">
        <v>5</v>
      </c>
      <c r="C22" s="56" t="s">
        <v>200</v>
      </c>
      <c r="D22" s="56" t="s">
        <v>201</v>
      </c>
      <c r="E22" s="56">
        <v>0</v>
      </c>
      <c r="F22" s="60">
        <f t="shared" ref="F22:F27" si="7">O21</f>
        <v>2526428.5714285714</v>
      </c>
      <c r="G22" s="58">
        <v>2</v>
      </c>
      <c r="H22" s="59">
        <v>1.4999999999999999E-2</v>
      </c>
      <c r="I22" s="8">
        <f t="shared" ref="I22:I24" si="8">F22*H22</f>
        <v>37896.428571428572</v>
      </c>
      <c r="J22" s="18">
        <v>45848</v>
      </c>
      <c r="K22" s="19" t="s">
        <v>8</v>
      </c>
      <c r="L22" s="8">
        <f t="shared" ref="L22:L27" si="9">($F$21/7)+I22</f>
        <v>466467.85714285716</v>
      </c>
      <c r="M22" s="48" t="s">
        <v>194</v>
      </c>
      <c r="N22" s="90">
        <v>466500</v>
      </c>
      <c r="O22" s="60">
        <f t="shared" si="0"/>
        <v>2059960.7142857141</v>
      </c>
      <c r="P22" s="56">
        <v>1</v>
      </c>
      <c r="Q22" s="56" t="s">
        <v>47</v>
      </c>
      <c r="R22" s="56"/>
      <c r="S22" s="56"/>
      <c r="T22" s="56"/>
      <c r="U22" s="56" t="s">
        <v>80</v>
      </c>
      <c r="V22" s="1" t="s">
        <v>91</v>
      </c>
    </row>
    <row r="23" spans="1:22" ht="15.75" hidden="1" thickBot="1" x14ac:dyDescent="0.3">
      <c r="A23" s="55" t="s">
        <v>61</v>
      </c>
      <c r="B23" s="56">
        <v>5</v>
      </c>
      <c r="C23" s="56" t="s">
        <v>200</v>
      </c>
      <c r="D23" s="56" t="s">
        <v>201</v>
      </c>
      <c r="E23" s="56">
        <v>0</v>
      </c>
      <c r="F23" s="60">
        <f t="shared" si="7"/>
        <v>2059960.7142857141</v>
      </c>
      <c r="G23" s="58">
        <v>3</v>
      </c>
      <c r="H23" s="59">
        <v>1.4999999999999999E-2</v>
      </c>
      <c r="I23" s="8">
        <f t="shared" si="8"/>
        <v>30899.41071428571</v>
      </c>
      <c r="J23" s="18">
        <v>45879</v>
      </c>
      <c r="K23" s="19" t="s">
        <v>9</v>
      </c>
      <c r="L23" s="8">
        <f t="shared" si="9"/>
        <v>459470.83928571432</v>
      </c>
      <c r="M23" s="48" t="s">
        <v>194</v>
      </c>
      <c r="N23" s="90">
        <v>459500</v>
      </c>
      <c r="O23" s="60">
        <f t="shared" si="0"/>
        <v>1600489.8749999998</v>
      </c>
      <c r="P23" s="56">
        <v>1</v>
      </c>
      <c r="Q23" s="56" t="s">
        <v>47</v>
      </c>
      <c r="R23" s="56"/>
      <c r="S23" s="56"/>
      <c r="T23" s="56"/>
      <c r="U23" s="56" t="s">
        <v>80</v>
      </c>
      <c r="V23" s="1" t="s">
        <v>91</v>
      </c>
    </row>
    <row r="24" spans="1:22" ht="15.75" hidden="1" thickBot="1" x14ac:dyDescent="0.3">
      <c r="A24" s="55" t="s">
        <v>62</v>
      </c>
      <c r="B24" s="56">
        <v>5</v>
      </c>
      <c r="C24" s="56" t="s">
        <v>200</v>
      </c>
      <c r="D24" s="56" t="s">
        <v>201</v>
      </c>
      <c r="E24" s="56">
        <v>0</v>
      </c>
      <c r="F24" s="60">
        <f t="shared" si="7"/>
        <v>1600489.8749999998</v>
      </c>
      <c r="G24" s="58">
        <v>4</v>
      </c>
      <c r="H24" s="59">
        <v>1.4999999999999999E-2</v>
      </c>
      <c r="I24" s="8">
        <f t="shared" si="8"/>
        <v>24007.348124999997</v>
      </c>
      <c r="J24" s="18">
        <v>45910</v>
      </c>
      <c r="K24" s="19" t="s">
        <v>10</v>
      </c>
      <c r="L24" s="8">
        <f t="shared" si="9"/>
        <v>452578.7766964286</v>
      </c>
      <c r="M24" s="48" t="s">
        <v>194</v>
      </c>
      <c r="N24" s="90">
        <v>452600</v>
      </c>
      <c r="O24" s="60">
        <f t="shared" si="0"/>
        <v>1147911.0983035711</v>
      </c>
      <c r="P24" s="56">
        <v>1</v>
      </c>
      <c r="Q24" s="56" t="s">
        <v>47</v>
      </c>
      <c r="R24" s="56"/>
      <c r="S24" s="56"/>
      <c r="T24" s="56"/>
      <c r="U24" s="56" t="s">
        <v>80</v>
      </c>
      <c r="V24" s="1" t="s">
        <v>91</v>
      </c>
    </row>
    <row r="25" spans="1:22" ht="15.75" hidden="1" thickBot="1" x14ac:dyDescent="0.3">
      <c r="A25" s="55" t="s">
        <v>63</v>
      </c>
      <c r="B25" s="56">
        <v>5</v>
      </c>
      <c r="C25" s="56" t="s">
        <v>200</v>
      </c>
      <c r="D25" s="56" t="s">
        <v>201</v>
      </c>
      <c r="E25" s="56">
        <v>0</v>
      </c>
      <c r="F25" s="60">
        <f t="shared" si="7"/>
        <v>1147911.0983035711</v>
      </c>
      <c r="G25" s="58">
        <v>5</v>
      </c>
      <c r="H25" s="59">
        <v>1.4999999999999999E-2</v>
      </c>
      <c r="I25" s="8">
        <f t="shared" ref="I25:I27" si="10">F25*H25</f>
        <v>17218.666474553567</v>
      </c>
      <c r="J25" s="18">
        <v>45940</v>
      </c>
      <c r="K25" s="19" t="s">
        <v>13</v>
      </c>
      <c r="L25" s="8">
        <f t="shared" si="9"/>
        <v>445790.09504598216</v>
      </c>
      <c r="M25" s="48" t="s">
        <v>194</v>
      </c>
      <c r="N25" s="90">
        <v>445800</v>
      </c>
      <c r="O25" s="60">
        <f t="shared" si="0"/>
        <v>702121.00325758895</v>
      </c>
      <c r="P25" s="56">
        <v>1</v>
      </c>
      <c r="Q25" s="56" t="s">
        <v>47</v>
      </c>
      <c r="R25" s="56"/>
      <c r="S25" s="56"/>
      <c r="T25" s="56"/>
      <c r="U25" s="56" t="s">
        <v>80</v>
      </c>
      <c r="V25" s="1" t="s">
        <v>91</v>
      </c>
    </row>
    <row r="26" spans="1:22" ht="15.75" hidden="1" thickBot="1" x14ac:dyDescent="0.3">
      <c r="A26" s="55" t="s">
        <v>64</v>
      </c>
      <c r="B26" s="56">
        <v>5</v>
      </c>
      <c r="C26" s="56" t="s">
        <v>200</v>
      </c>
      <c r="D26" s="56" t="s">
        <v>201</v>
      </c>
      <c r="E26" s="56">
        <v>0</v>
      </c>
      <c r="F26" s="60">
        <f t="shared" si="7"/>
        <v>702121.00325758895</v>
      </c>
      <c r="G26" s="58">
        <v>6</v>
      </c>
      <c r="H26" s="59">
        <v>1.4999999999999999E-2</v>
      </c>
      <c r="I26" s="8">
        <f t="shared" si="10"/>
        <v>10531.815048863833</v>
      </c>
      <c r="J26" s="18">
        <v>45971</v>
      </c>
      <c r="K26" s="19" t="s">
        <v>15</v>
      </c>
      <c r="L26" s="8">
        <f t="shared" si="9"/>
        <v>439103.2436202924</v>
      </c>
      <c r="M26" s="48" t="s">
        <v>194</v>
      </c>
      <c r="N26" s="90">
        <v>439200</v>
      </c>
      <c r="O26" s="60">
        <f t="shared" si="0"/>
        <v>263017.75963729655</v>
      </c>
      <c r="P26" s="56">
        <v>1</v>
      </c>
      <c r="Q26" s="56" t="s">
        <v>47</v>
      </c>
      <c r="R26" s="56">
        <v>17154</v>
      </c>
      <c r="S26" s="56"/>
      <c r="T26" s="56"/>
      <c r="U26" s="56" t="s">
        <v>80</v>
      </c>
      <c r="V26" s="1" t="s">
        <v>91</v>
      </c>
    </row>
    <row r="27" spans="1:22" s="46" customFormat="1" ht="15.75" hidden="1" thickBot="1" x14ac:dyDescent="0.3">
      <c r="A27" s="61" t="s">
        <v>65</v>
      </c>
      <c r="B27" s="62">
        <v>5</v>
      </c>
      <c r="C27" s="62" t="s">
        <v>200</v>
      </c>
      <c r="D27" s="62" t="s">
        <v>201</v>
      </c>
      <c r="E27" s="62">
        <v>0</v>
      </c>
      <c r="F27" s="69">
        <f t="shared" si="7"/>
        <v>263017.75963729655</v>
      </c>
      <c r="G27" s="64">
        <v>7</v>
      </c>
      <c r="H27" s="65">
        <v>1.4999999999999999E-2</v>
      </c>
      <c r="I27" s="10">
        <f t="shared" si="10"/>
        <v>3945.2663945594481</v>
      </c>
      <c r="J27" s="66">
        <v>46001</v>
      </c>
      <c r="K27" s="67" t="s">
        <v>14</v>
      </c>
      <c r="L27" s="10">
        <f t="shared" si="9"/>
        <v>432516.69496598805</v>
      </c>
      <c r="M27" s="48" t="s">
        <v>194</v>
      </c>
      <c r="N27" s="91">
        <v>432516.69496598805</v>
      </c>
      <c r="O27" s="69">
        <f t="shared" si="0"/>
        <v>-169498.9353286915</v>
      </c>
      <c r="P27" s="62">
        <v>1</v>
      </c>
      <c r="Q27" s="56" t="s">
        <v>47</v>
      </c>
      <c r="R27" s="62">
        <v>78243</v>
      </c>
      <c r="S27" s="62"/>
      <c r="T27" s="62" t="s">
        <v>56</v>
      </c>
      <c r="U27" s="62" t="s">
        <v>80</v>
      </c>
      <c r="V27" s="1" t="s">
        <v>91</v>
      </c>
    </row>
    <row r="28" spans="1:22" s="30" customFormat="1" ht="15.75" hidden="1" thickBot="1" x14ac:dyDescent="0.3">
      <c r="A28" s="21" t="s">
        <v>67</v>
      </c>
      <c r="B28" s="22">
        <v>4</v>
      </c>
      <c r="C28" s="22" t="s">
        <v>203</v>
      </c>
      <c r="D28" s="22" t="s">
        <v>204</v>
      </c>
      <c r="E28" s="22" t="s">
        <v>6</v>
      </c>
      <c r="F28" s="23">
        <v>2000000</v>
      </c>
      <c r="G28" s="24">
        <v>1</v>
      </c>
      <c r="H28" s="25">
        <v>1.4999999999999999E-2</v>
      </c>
      <c r="I28" s="26">
        <f>F28*H28</f>
        <v>30000</v>
      </c>
      <c r="J28" s="27">
        <v>45818</v>
      </c>
      <c r="K28" s="28" t="s">
        <v>7</v>
      </c>
      <c r="L28" s="26">
        <f>($F$28/4)+I28</f>
        <v>530000</v>
      </c>
      <c r="M28" s="48" t="s">
        <v>194</v>
      </c>
      <c r="N28" s="26">
        <v>530000</v>
      </c>
      <c r="O28" s="29">
        <f t="shared" si="0"/>
        <v>1470000</v>
      </c>
      <c r="P28" s="22">
        <v>1</v>
      </c>
      <c r="Q28" s="22" t="s">
        <v>98</v>
      </c>
      <c r="R28" s="24">
        <v>1</v>
      </c>
      <c r="S28" s="22">
        <v>5644</v>
      </c>
      <c r="T28" s="22" t="s">
        <v>57</v>
      </c>
      <c r="U28" s="22" t="s">
        <v>81</v>
      </c>
      <c r="V28" s="30" t="s">
        <v>91</v>
      </c>
    </row>
    <row r="29" spans="1:22" ht="15.75" hidden="1" thickBot="1" x14ac:dyDescent="0.3">
      <c r="A29" s="31" t="s">
        <v>68</v>
      </c>
      <c r="B29" s="32">
        <v>4</v>
      </c>
      <c r="C29" s="32" t="s">
        <v>203</v>
      </c>
      <c r="D29" s="32" t="s">
        <v>204</v>
      </c>
      <c r="E29" s="32">
        <v>0</v>
      </c>
      <c r="F29" s="33">
        <f t="shared" ref="F29:F31" si="11">O28</f>
        <v>1470000</v>
      </c>
      <c r="G29" s="34">
        <v>2</v>
      </c>
      <c r="H29" s="35">
        <v>1.4999999999999999E-2</v>
      </c>
      <c r="I29" s="9">
        <f t="shared" ref="I29:I31" si="12">F29*H29</f>
        <v>22050</v>
      </c>
      <c r="J29" s="17">
        <v>45848</v>
      </c>
      <c r="K29" s="12" t="s">
        <v>8</v>
      </c>
      <c r="L29" s="9">
        <f>($F$28/4)+I29</f>
        <v>522050</v>
      </c>
      <c r="M29" s="48" t="s">
        <v>194</v>
      </c>
      <c r="N29" s="9">
        <v>522050</v>
      </c>
      <c r="O29" s="36">
        <f t="shared" si="0"/>
        <v>947950</v>
      </c>
      <c r="P29" s="32">
        <v>1</v>
      </c>
      <c r="Q29" s="32" t="s">
        <v>114</v>
      </c>
      <c r="R29" s="32" t="s">
        <v>116</v>
      </c>
      <c r="S29" s="32"/>
      <c r="T29" s="32"/>
      <c r="U29" s="32" t="s">
        <v>81</v>
      </c>
      <c r="V29" s="1" t="s">
        <v>91</v>
      </c>
    </row>
    <row r="30" spans="1:22" ht="15.75" hidden="1" thickBot="1" x14ac:dyDescent="0.3">
      <c r="A30" s="31" t="s">
        <v>69</v>
      </c>
      <c r="B30" s="32">
        <v>4</v>
      </c>
      <c r="C30" s="32" t="s">
        <v>203</v>
      </c>
      <c r="D30" s="32" t="s">
        <v>204</v>
      </c>
      <c r="E30" s="32">
        <v>0</v>
      </c>
      <c r="F30" s="33">
        <f t="shared" si="11"/>
        <v>947950</v>
      </c>
      <c r="G30" s="34">
        <v>3</v>
      </c>
      <c r="H30" s="35">
        <v>1.4999999999999999E-2</v>
      </c>
      <c r="I30" s="9">
        <f t="shared" si="12"/>
        <v>14219.25</v>
      </c>
      <c r="J30" s="17">
        <v>45879</v>
      </c>
      <c r="K30" s="12" t="s">
        <v>9</v>
      </c>
      <c r="L30" s="9">
        <f>($F$28/4)+I30</f>
        <v>514219.25</v>
      </c>
      <c r="M30" s="48" t="s">
        <v>194</v>
      </c>
      <c r="N30" s="9">
        <v>514219</v>
      </c>
      <c r="O30" s="36">
        <f t="shared" si="0"/>
        <v>433730.75</v>
      </c>
      <c r="P30" s="32">
        <v>1</v>
      </c>
      <c r="Q30" s="32" t="s">
        <v>114</v>
      </c>
      <c r="R30" s="32" t="s">
        <v>92</v>
      </c>
      <c r="S30" s="32"/>
      <c r="T30" s="32"/>
      <c r="U30" s="32" t="s">
        <v>81</v>
      </c>
      <c r="V30" s="1" t="s">
        <v>91</v>
      </c>
    </row>
    <row r="31" spans="1:22" s="46" customFormat="1" ht="15.75" hidden="1" thickBot="1" x14ac:dyDescent="0.3">
      <c r="A31" s="37" t="s">
        <v>70</v>
      </c>
      <c r="B31" s="38">
        <v>4</v>
      </c>
      <c r="C31" s="38" t="s">
        <v>203</v>
      </c>
      <c r="D31" s="38" t="s">
        <v>204</v>
      </c>
      <c r="E31" s="38">
        <v>0</v>
      </c>
      <c r="F31" s="39">
        <f t="shared" si="11"/>
        <v>433730.75</v>
      </c>
      <c r="G31" s="40">
        <v>4</v>
      </c>
      <c r="H31" s="41">
        <v>1.4999999999999999E-2</v>
      </c>
      <c r="I31" s="42">
        <f t="shared" si="12"/>
        <v>6505.9612499999994</v>
      </c>
      <c r="J31" s="43">
        <v>45910</v>
      </c>
      <c r="K31" s="44" t="s">
        <v>10</v>
      </c>
      <c r="L31" s="42">
        <f>($F$28/4)+I31</f>
        <v>506505.96124999999</v>
      </c>
      <c r="M31" s="48" t="s">
        <v>194</v>
      </c>
      <c r="N31" s="42">
        <v>506505.96124999999</v>
      </c>
      <c r="O31" s="45">
        <f t="shared" si="0"/>
        <v>-72775.211249999993</v>
      </c>
      <c r="P31" s="38">
        <v>1</v>
      </c>
      <c r="Q31" s="32" t="s">
        <v>114</v>
      </c>
      <c r="R31" s="38" t="s">
        <v>118</v>
      </c>
      <c r="S31" s="38"/>
      <c r="T31" s="38" t="s">
        <v>56</v>
      </c>
      <c r="U31" s="38" t="s">
        <v>81</v>
      </c>
      <c r="V31" s="46" t="s">
        <v>91</v>
      </c>
    </row>
    <row r="32" spans="1:22" s="30" customFormat="1" ht="15.75" hidden="1" thickBot="1" x14ac:dyDescent="0.3">
      <c r="A32" s="47" t="s">
        <v>71</v>
      </c>
      <c r="B32" s="48">
        <v>6</v>
      </c>
      <c r="C32" s="48" t="s">
        <v>205</v>
      </c>
      <c r="D32" s="48" t="s">
        <v>206</v>
      </c>
      <c r="E32" s="48" t="s">
        <v>6</v>
      </c>
      <c r="F32" s="23">
        <v>1000000</v>
      </c>
      <c r="G32" s="49">
        <v>1</v>
      </c>
      <c r="H32" s="50">
        <v>1.4999999999999999E-2</v>
      </c>
      <c r="I32" s="14">
        <f>F32*H32</f>
        <v>15000</v>
      </c>
      <c r="J32" s="51">
        <v>45818</v>
      </c>
      <c r="K32" s="52" t="s">
        <v>7</v>
      </c>
      <c r="L32" s="14">
        <f>($F$32/4)+I32</f>
        <v>265000</v>
      </c>
      <c r="M32" s="48" t="s">
        <v>194</v>
      </c>
      <c r="N32" s="53">
        <v>265000</v>
      </c>
      <c r="O32" s="54">
        <f t="shared" si="0"/>
        <v>735000</v>
      </c>
      <c r="P32" s="48">
        <v>1</v>
      </c>
      <c r="Q32" s="48" t="s">
        <v>51</v>
      </c>
      <c r="R32" s="48">
        <v>6270109</v>
      </c>
      <c r="S32" s="48">
        <v>8600</v>
      </c>
      <c r="T32" s="48" t="s">
        <v>57</v>
      </c>
      <c r="U32" s="48" t="s">
        <v>82</v>
      </c>
      <c r="V32" s="30" t="s">
        <v>91</v>
      </c>
    </row>
    <row r="33" spans="1:22" ht="15.75" hidden="1" thickBot="1" x14ac:dyDescent="0.3">
      <c r="A33" s="55" t="s">
        <v>72</v>
      </c>
      <c r="B33" s="56">
        <v>6</v>
      </c>
      <c r="C33" s="56" t="s">
        <v>205</v>
      </c>
      <c r="D33" s="56" t="s">
        <v>206</v>
      </c>
      <c r="E33" s="56">
        <v>0</v>
      </c>
      <c r="F33" s="57">
        <f t="shared" ref="F33:F35" si="13">O32</f>
        <v>735000</v>
      </c>
      <c r="G33" s="58">
        <v>2</v>
      </c>
      <c r="H33" s="59">
        <v>1.4999999999999999E-2</v>
      </c>
      <c r="I33" s="8">
        <f t="shared" ref="I33:I35" si="14">F33*H33</f>
        <v>11025</v>
      </c>
      <c r="J33" s="18">
        <v>45848</v>
      </c>
      <c r="K33" s="19" t="s">
        <v>8</v>
      </c>
      <c r="L33" s="8">
        <f t="shared" ref="L33:L35" si="15">($F$32/4)+I33</f>
        <v>261025</v>
      </c>
      <c r="M33" s="48" t="s">
        <v>194</v>
      </c>
      <c r="N33" s="20">
        <v>261025</v>
      </c>
      <c r="O33" s="60">
        <f t="shared" si="0"/>
        <v>473975</v>
      </c>
      <c r="P33" s="56">
        <v>1</v>
      </c>
      <c r="Q33" s="56" t="s">
        <v>51</v>
      </c>
      <c r="R33" s="56"/>
      <c r="S33" s="56">
        <v>8600</v>
      </c>
      <c r="T33" s="56"/>
      <c r="U33" s="56" t="s">
        <v>82</v>
      </c>
      <c r="V33" s="1" t="s">
        <v>91</v>
      </c>
    </row>
    <row r="34" spans="1:22" ht="15.75" hidden="1" thickBot="1" x14ac:dyDescent="0.3">
      <c r="A34" s="55" t="s">
        <v>73</v>
      </c>
      <c r="B34" s="56">
        <v>6</v>
      </c>
      <c r="C34" s="56" t="s">
        <v>205</v>
      </c>
      <c r="D34" s="56" t="s">
        <v>206</v>
      </c>
      <c r="E34" s="56">
        <v>0</v>
      </c>
      <c r="F34" s="57">
        <f t="shared" si="13"/>
        <v>473975</v>
      </c>
      <c r="G34" s="58">
        <v>3</v>
      </c>
      <c r="H34" s="59">
        <v>1.4999999999999999E-2</v>
      </c>
      <c r="I34" s="8">
        <f t="shared" si="14"/>
        <v>7109.625</v>
      </c>
      <c r="J34" s="18">
        <v>45879</v>
      </c>
      <c r="K34" s="19" t="s">
        <v>9</v>
      </c>
      <c r="L34" s="8">
        <f t="shared" si="15"/>
        <v>257109.625</v>
      </c>
      <c r="M34" s="48" t="s">
        <v>194</v>
      </c>
      <c r="N34" s="20">
        <v>257109.625</v>
      </c>
      <c r="O34" s="60">
        <f t="shared" ref="O34:O54" si="16">F34-L34</f>
        <v>216865.375</v>
      </c>
      <c r="P34" s="56">
        <v>1</v>
      </c>
      <c r="Q34" s="56" t="s">
        <v>51</v>
      </c>
      <c r="R34" s="56">
        <v>11348210</v>
      </c>
      <c r="S34" s="56">
        <v>8600</v>
      </c>
      <c r="T34" s="56"/>
      <c r="U34" s="56" t="s">
        <v>82</v>
      </c>
      <c r="V34" s="1" t="s">
        <v>91</v>
      </c>
    </row>
    <row r="35" spans="1:22" s="46" customFormat="1" ht="15.75" hidden="1" thickBot="1" x14ac:dyDescent="0.3">
      <c r="A35" s="61" t="s">
        <v>74</v>
      </c>
      <c r="B35" s="62">
        <v>6</v>
      </c>
      <c r="C35" s="62" t="s">
        <v>205</v>
      </c>
      <c r="D35" s="62" t="s">
        <v>206</v>
      </c>
      <c r="E35" s="62">
        <v>0</v>
      </c>
      <c r="F35" s="63">
        <f t="shared" si="13"/>
        <v>216865.375</v>
      </c>
      <c r="G35" s="64">
        <v>4</v>
      </c>
      <c r="H35" s="65">
        <v>1.4999999999999999E-2</v>
      </c>
      <c r="I35" s="10">
        <f t="shared" si="14"/>
        <v>3252.9806249999997</v>
      </c>
      <c r="J35" s="66">
        <v>45910</v>
      </c>
      <c r="K35" s="67" t="s">
        <v>10</v>
      </c>
      <c r="L35" s="10">
        <f t="shared" si="15"/>
        <v>253252.980625</v>
      </c>
      <c r="M35" s="48" t="s">
        <v>194</v>
      </c>
      <c r="N35" s="68">
        <v>253252.980625</v>
      </c>
      <c r="O35" s="45">
        <f t="shared" si="16"/>
        <v>-36387.605624999997</v>
      </c>
      <c r="P35" s="62">
        <v>1</v>
      </c>
      <c r="Q35" s="56" t="s">
        <v>51</v>
      </c>
      <c r="R35" s="62">
        <v>14328346</v>
      </c>
      <c r="S35" s="56">
        <v>8600</v>
      </c>
      <c r="T35" s="62" t="s">
        <v>56</v>
      </c>
      <c r="U35" s="62" t="s">
        <v>82</v>
      </c>
      <c r="V35" s="46" t="s">
        <v>91</v>
      </c>
    </row>
    <row r="36" spans="1:22" s="30" customFormat="1" ht="15.75" hidden="1" thickBot="1" x14ac:dyDescent="0.3">
      <c r="A36" s="21" t="s">
        <v>83</v>
      </c>
      <c r="B36" s="22">
        <v>12</v>
      </c>
      <c r="C36" s="22" t="s">
        <v>207</v>
      </c>
      <c r="D36" s="22" t="s">
        <v>208</v>
      </c>
      <c r="E36" s="22" t="s">
        <v>7</v>
      </c>
      <c r="F36" s="23">
        <v>3000000</v>
      </c>
      <c r="G36" s="24">
        <v>1</v>
      </c>
      <c r="H36" s="25">
        <v>1.4999999999999999E-2</v>
      </c>
      <c r="I36" s="26">
        <f>F36*H36</f>
        <v>45000</v>
      </c>
      <c r="J36" s="27">
        <v>45848</v>
      </c>
      <c r="K36" s="28" t="s">
        <v>8</v>
      </c>
      <c r="L36" s="26">
        <f>($F$36/6)+I36</f>
        <v>545000</v>
      </c>
      <c r="M36" s="48" t="s">
        <v>194</v>
      </c>
      <c r="N36" s="86">
        <v>545000</v>
      </c>
      <c r="O36" s="29">
        <f t="shared" si="16"/>
        <v>2455000</v>
      </c>
      <c r="P36" s="22">
        <v>1</v>
      </c>
      <c r="Q36" s="22" t="s">
        <v>18</v>
      </c>
      <c r="R36" s="22">
        <v>18946</v>
      </c>
      <c r="S36" s="22"/>
      <c r="T36" s="22" t="s">
        <v>57</v>
      </c>
      <c r="U36" s="22" t="s">
        <v>89</v>
      </c>
      <c r="V36" s="30" t="s">
        <v>91</v>
      </c>
    </row>
    <row r="37" spans="1:22" ht="15.75" hidden="1" thickBot="1" x14ac:dyDescent="0.3">
      <c r="A37" s="31" t="s">
        <v>84</v>
      </c>
      <c r="B37" s="32">
        <v>12</v>
      </c>
      <c r="C37" s="32" t="s">
        <v>207</v>
      </c>
      <c r="D37" s="32" t="s">
        <v>208</v>
      </c>
      <c r="E37" s="32"/>
      <c r="F37" s="33">
        <f t="shared" ref="F37:F39" si="17">O36</f>
        <v>2455000</v>
      </c>
      <c r="G37" s="34">
        <v>2</v>
      </c>
      <c r="H37" s="35">
        <v>1.4999999999999999E-2</v>
      </c>
      <c r="I37" s="9">
        <f t="shared" ref="I37:I39" si="18">F37*H37</f>
        <v>36825</v>
      </c>
      <c r="J37" s="17">
        <v>45879</v>
      </c>
      <c r="K37" s="12" t="s">
        <v>9</v>
      </c>
      <c r="L37" s="9">
        <f t="shared" ref="L37:L41" si="19">($F$36/6)+I37</f>
        <v>536825</v>
      </c>
      <c r="M37" s="48" t="s">
        <v>194</v>
      </c>
      <c r="N37" s="87">
        <v>536825</v>
      </c>
      <c r="O37" s="36">
        <f t="shared" si="16"/>
        <v>1918175</v>
      </c>
      <c r="P37" s="32">
        <v>1</v>
      </c>
      <c r="Q37" s="32" t="s">
        <v>18</v>
      </c>
      <c r="R37" s="32">
        <v>81102</v>
      </c>
      <c r="S37" s="32"/>
      <c r="T37" s="32"/>
      <c r="U37" s="32" t="s">
        <v>89</v>
      </c>
      <c r="V37" s="1" t="s">
        <v>91</v>
      </c>
    </row>
    <row r="38" spans="1:22" ht="15.75" hidden="1" thickBot="1" x14ac:dyDescent="0.3">
      <c r="A38" s="31" t="s">
        <v>85</v>
      </c>
      <c r="B38" s="32">
        <v>12</v>
      </c>
      <c r="C38" s="32" t="s">
        <v>207</v>
      </c>
      <c r="D38" s="32" t="s">
        <v>208</v>
      </c>
      <c r="E38" s="32"/>
      <c r="F38" s="33">
        <f t="shared" si="17"/>
        <v>1918175</v>
      </c>
      <c r="G38" s="34">
        <v>3</v>
      </c>
      <c r="H38" s="35">
        <v>1.4999999999999999E-2</v>
      </c>
      <c r="I38" s="9">
        <f t="shared" si="18"/>
        <v>28772.625</v>
      </c>
      <c r="J38" s="17">
        <v>45910</v>
      </c>
      <c r="K38" s="12" t="s">
        <v>10</v>
      </c>
      <c r="L38" s="9">
        <f t="shared" si="19"/>
        <v>528772.625</v>
      </c>
      <c r="M38" s="48" t="s">
        <v>194</v>
      </c>
      <c r="N38" s="87">
        <v>528773</v>
      </c>
      <c r="O38" s="36">
        <f t="shared" si="16"/>
        <v>1389402.375</v>
      </c>
      <c r="P38" s="32">
        <v>1</v>
      </c>
      <c r="Q38" s="32" t="s">
        <v>18</v>
      </c>
      <c r="R38" s="32">
        <v>51784</v>
      </c>
      <c r="S38" s="32"/>
      <c r="T38" s="32"/>
      <c r="U38" s="32" t="s">
        <v>89</v>
      </c>
      <c r="V38" s="1" t="s">
        <v>91</v>
      </c>
    </row>
    <row r="39" spans="1:22" ht="15.75" hidden="1" thickBot="1" x14ac:dyDescent="0.3">
      <c r="A39" s="31" t="s">
        <v>86</v>
      </c>
      <c r="B39" s="32">
        <v>12</v>
      </c>
      <c r="C39" s="32" t="s">
        <v>207</v>
      </c>
      <c r="D39" s="32" t="s">
        <v>208</v>
      </c>
      <c r="E39" s="32"/>
      <c r="F39" s="33">
        <f t="shared" si="17"/>
        <v>1389402.375</v>
      </c>
      <c r="G39" s="34">
        <v>4</v>
      </c>
      <c r="H39" s="35">
        <v>1.4999999999999999E-2</v>
      </c>
      <c r="I39" s="9">
        <f t="shared" si="18"/>
        <v>20841.035625</v>
      </c>
      <c r="J39" s="17">
        <v>45940</v>
      </c>
      <c r="K39" s="12" t="s">
        <v>13</v>
      </c>
      <c r="L39" s="9">
        <f t="shared" si="19"/>
        <v>520841.03562500002</v>
      </c>
      <c r="M39" s="48" t="s">
        <v>194</v>
      </c>
      <c r="N39" s="87">
        <v>520841</v>
      </c>
      <c r="O39" s="36">
        <f t="shared" si="16"/>
        <v>868561.33937499998</v>
      </c>
      <c r="P39" s="32">
        <v>1</v>
      </c>
      <c r="Q39" s="32" t="s">
        <v>18</v>
      </c>
      <c r="R39" s="32">
        <v>69461</v>
      </c>
      <c r="S39" s="32"/>
      <c r="T39" s="32"/>
      <c r="U39" s="32" t="s">
        <v>89</v>
      </c>
      <c r="V39" s="1" t="s">
        <v>91</v>
      </c>
    </row>
    <row r="40" spans="1:22" ht="15.75" hidden="1" thickBot="1" x14ac:dyDescent="0.3">
      <c r="A40" s="31" t="s">
        <v>87</v>
      </c>
      <c r="B40" s="32">
        <v>12</v>
      </c>
      <c r="C40" s="32" t="s">
        <v>207</v>
      </c>
      <c r="D40" s="32" t="s">
        <v>208</v>
      </c>
      <c r="E40" s="32"/>
      <c r="F40" s="33">
        <f t="shared" ref="F40" si="20">O39</f>
        <v>868561.33937499998</v>
      </c>
      <c r="G40" s="34">
        <v>5</v>
      </c>
      <c r="H40" s="35">
        <v>1.4999999999999999E-2</v>
      </c>
      <c r="I40" s="9">
        <f t="shared" ref="I40" si="21">F40*H40</f>
        <v>13028.420090624999</v>
      </c>
      <c r="J40" s="17">
        <v>45971</v>
      </c>
      <c r="K40" s="12" t="s">
        <v>15</v>
      </c>
      <c r="L40" s="9">
        <f t="shared" si="19"/>
        <v>513028.420090625</v>
      </c>
      <c r="M40" s="48" t="s">
        <v>194</v>
      </c>
      <c r="N40" s="87">
        <v>513028</v>
      </c>
      <c r="O40" s="36">
        <f t="shared" si="16"/>
        <v>355532.91928437498</v>
      </c>
      <c r="P40" s="32">
        <v>1</v>
      </c>
      <c r="Q40" s="32" t="s">
        <v>18</v>
      </c>
      <c r="R40" s="32">
        <v>64241</v>
      </c>
      <c r="S40" s="32"/>
      <c r="T40" s="32"/>
      <c r="U40" s="32" t="s">
        <v>89</v>
      </c>
      <c r="V40" s="1" t="s">
        <v>91</v>
      </c>
    </row>
    <row r="41" spans="1:22" s="46" customFormat="1" ht="15.75" hidden="1" thickBot="1" x14ac:dyDescent="0.3">
      <c r="A41" s="37" t="s">
        <v>88</v>
      </c>
      <c r="B41" s="38">
        <v>12</v>
      </c>
      <c r="C41" s="38" t="s">
        <v>207</v>
      </c>
      <c r="D41" s="38" t="s">
        <v>208</v>
      </c>
      <c r="E41" s="38"/>
      <c r="F41" s="39">
        <f t="shared" ref="F41" si="22">O40</f>
        <v>355532.91928437498</v>
      </c>
      <c r="G41" s="40">
        <v>6</v>
      </c>
      <c r="H41" s="41">
        <v>1.4999999999999999E-2</v>
      </c>
      <c r="I41" s="42">
        <f t="shared" ref="I41" si="23">F41*H41</f>
        <v>5332.9937892656244</v>
      </c>
      <c r="J41" s="43">
        <v>46001</v>
      </c>
      <c r="K41" s="44" t="s">
        <v>14</v>
      </c>
      <c r="L41" s="42">
        <f t="shared" si="19"/>
        <v>505332.99378926563</v>
      </c>
      <c r="M41" s="48" t="s">
        <v>194</v>
      </c>
      <c r="N41" s="88">
        <v>505332.99378926563</v>
      </c>
      <c r="O41" s="45">
        <f t="shared" si="16"/>
        <v>-149800.07450489065</v>
      </c>
      <c r="P41" s="38">
        <v>1</v>
      </c>
      <c r="Q41" s="32" t="s">
        <v>18</v>
      </c>
      <c r="R41" s="32">
        <v>52385</v>
      </c>
      <c r="S41" s="38"/>
      <c r="T41" s="38" t="s">
        <v>56</v>
      </c>
      <c r="U41" s="38" t="s">
        <v>89</v>
      </c>
      <c r="V41" s="46" t="s">
        <v>91</v>
      </c>
    </row>
    <row r="42" spans="1:22" s="30" customFormat="1" ht="15.75" hidden="1" thickBot="1" x14ac:dyDescent="0.3">
      <c r="A42" s="47" t="s">
        <v>93</v>
      </c>
      <c r="B42" s="48">
        <v>10</v>
      </c>
      <c r="C42" s="48" t="s">
        <v>209</v>
      </c>
      <c r="D42" s="48" t="s">
        <v>210</v>
      </c>
      <c r="E42" s="48" t="s">
        <v>7</v>
      </c>
      <c r="F42" s="23">
        <v>400000</v>
      </c>
      <c r="G42" s="49">
        <v>1</v>
      </c>
      <c r="H42" s="50">
        <v>1.4999999999999999E-2</v>
      </c>
      <c r="I42" s="14">
        <f>F42*H42</f>
        <v>6000</v>
      </c>
      <c r="J42" s="51">
        <v>45848</v>
      </c>
      <c r="K42" s="52" t="s">
        <v>8</v>
      </c>
      <c r="L42" s="14">
        <f>($F$42/4)+I42</f>
        <v>106000</v>
      </c>
      <c r="M42" s="48" t="s">
        <v>194</v>
      </c>
      <c r="N42" s="53">
        <v>106000</v>
      </c>
      <c r="O42" s="54">
        <f t="shared" si="16"/>
        <v>294000</v>
      </c>
      <c r="P42" s="48">
        <v>1</v>
      </c>
      <c r="Q42" s="48" t="s">
        <v>47</v>
      </c>
      <c r="R42" s="48"/>
      <c r="S42" s="48"/>
      <c r="T42" s="48" t="s">
        <v>57</v>
      </c>
      <c r="U42" s="48" t="s">
        <v>97</v>
      </c>
      <c r="V42" s="30" t="s">
        <v>91</v>
      </c>
    </row>
    <row r="43" spans="1:22" ht="15.75" hidden="1" thickBot="1" x14ac:dyDescent="0.3">
      <c r="A43" s="55" t="s">
        <v>94</v>
      </c>
      <c r="B43" s="56">
        <v>10</v>
      </c>
      <c r="C43" s="56" t="s">
        <v>209</v>
      </c>
      <c r="D43" s="56" t="s">
        <v>210</v>
      </c>
      <c r="E43" s="56">
        <v>0</v>
      </c>
      <c r="F43" s="57">
        <f t="shared" ref="F43:F45" si="24">O42</f>
        <v>294000</v>
      </c>
      <c r="G43" s="58">
        <v>2</v>
      </c>
      <c r="H43" s="59">
        <v>1.4999999999999999E-2</v>
      </c>
      <c r="I43" s="8">
        <f t="shared" ref="I43:I45" si="25">F43*H43</f>
        <v>4410</v>
      </c>
      <c r="J43" s="18">
        <v>45879</v>
      </c>
      <c r="K43" s="19" t="s">
        <v>9</v>
      </c>
      <c r="L43" s="8">
        <f>($F$42/4)+I43</f>
        <v>104410</v>
      </c>
      <c r="M43" s="48" t="s">
        <v>194</v>
      </c>
      <c r="N43" s="20">
        <v>104410</v>
      </c>
      <c r="O43" s="60">
        <f t="shared" si="16"/>
        <v>189590</v>
      </c>
      <c r="P43" s="56">
        <v>1</v>
      </c>
      <c r="Q43" s="56" t="s">
        <v>47</v>
      </c>
      <c r="R43" s="56"/>
      <c r="S43" s="56"/>
      <c r="T43" s="56"/>
      <c r="U43" s="56" t="s">
        <v>97</v>
      </c>
      <c r="V43" s="1" t="s">
        <v>91</v>
      </c>
    </row>
    <row r="44" spans="1:22" ht="15.75" hidden="1" thickBot="1" x14ac:dyDescent="0.3">
      <c r="A44" s="55" t="s">
        <v>95</v>
      </c>
      <c r="B44" s="56">
        <v>10</v>
      </c>
      <c r="C44" s="56" t="s">
        <v>209</v>
      </c>
      <c r="D44" s="56" t="s">
        <v>210</v>
      </c>
      <c r="E44" s="56">
        <v>0</v>
      </c>
      <c r="F44" s="57">
        <f t="shared" si="24"/>
        <v>189590</v>
      </c>
      <c r="G44" s="58">
        <v>3</v>
      </c>
      <c r="H44" s="59">
        <v>1.4999999999999999E-2</v>
      </c>
      <c r="I44" s="8">
        <f t="shared" si="25"/>
        <v>2843.85</v>
      </c>
      <c r="J44" s="18">
        <v>45910</v>
      </c>
      <c r="K44" s="19" t="s">
        <v>10</v>
      </c>
      <c r="L44" s="8">
        <f>($F$42/4)+I44</f>
        <v>102843.85</v>
      </c>
      <c r="M44" s="48" t="s">
        <v>194</v>
      </c>
      <c r="N44" s="20">
        <v>102843.85</v>
      </c>
      <c r="O44" s="60">
        <f t="shared" si="16"/>
        <v>86746.15</v>
      </c>
      <c r="P44" s="56">
        <v>1</v>
      </c>
      <c r="Q44" s="56" t="s">
        <v>47</v>
      </c>
      <c r="R44" s="56"/>
      <c r="S44" s="56"/>
      <c r="T44" s="56"/>
      <c r="U44" s="56" t="s">
        <v>97</v>
      </c>
      <c r="V44" s="1" t="s">
        <v>91</v>
      </c>
    </row>
    <row r="45" spans="1:22" s="46" customFormat="1" ht="15.75" hidden="1" thickBot="1" x14ac:dyDescent="0.3">
      <c r="A45" s="61" t="s">
        <v>96</v>
      </c>
      <c r="B45" s="62">
        <v>10</v>
      </c>
      <c r="C45" s="62" t="s">
        <v>209</v>
      </c>
      <c r="D45" s="62" t="s">
        <v>210</v>
      </c>
      <c r="E45" s="62">
        <v>0</v>
      </c>
      <c r="F45" s="63">
        <f t="shared" si="24"/>
        <v>86746.15</v>
      </c>
      <c r="G45" s="64">
        <v>4</v>
      </c>
      <c r="H45" s="65">
        <v>1.4999999999999999E-2</v>
      </c>
      <c r="I45" s="10">
        <f t="shared" si="25"/>
        <v>1301.1922499999998</v>
      </c>
      <c r="J45" s="66">
        <v>45940</v>
      </c>
      <c r="K45" s="67" t="s">
        <v>13</v>
      </c>
      <c r="L45" s="10">
        <f>($F$42/4)+I45</f>
        <v>101301.19224999999</v>
      </c>
      <c r="M45" s="48" t="s">
        <v>194</v>
      </c>
      <c r="N45" s="68">
        <v>101301.19224999999</v>
      </c>
      <c r="O45" s="69">
        <f t="shared" si="16"/>
        <v>-14555.042249999999</v>
      </c>
      <c r="P45" s="62">
        <v>1</v>
      </c>
      <c r="Q45" s="56" t="s">
        <v>47</v>
      </c>
      <c r="R45" s="62"/>
      <c r="S45" s="62"/>
      <c r="T45" s="62" t="s">
        <v>56</v>
      </c>
      <c r="U45" s="56" t="s">
        <v>97</v>
      </c>
      <c r="V45" s="1" t="s">
        <v>91</v>
      </c>
    </row>
    <row r="46" spans="1:22" s="30" customFormat="1" ht="15.75" hidden="1" thickBot="1" x14ac:dyDescent="0.3">
      <c r="A46" s="21" t="s">
        <v>99</v>
      </c>
      <c r="B46" s="22">
        <v>1</v>
      </c>
      <c r="C46" s="22" t="s">
        <v>211</v>
      </c>
      <c r="D46" s="22" t="s">
        <v>210</v>
      </c>
      <c r="E46" s="22" t="s">
        <v>8</v>
      </c>
      <c r="F46" s="23">
        <v>2000000</v>
      </c>
      <c r="G46" s="24">
        <v>1</v>
      </c>
      <c r="H46" s="25">
        <v>1.4999999999999999E-2</v>
      </c>
      <c r="I46" s="26">
        <f>F46*H46</f>
        <v>30000</v>
      </c>
      <c r="J46" s="17">
        <v>45879</v>
      </c>
      <c r="K46" s="12" t="s">
        <v>9</v>
      </c>
      <c r="L46" s="26">
        <f>($F$46/5)+I46</f>
        <v>430000</v>
      </c>
      <c r="M46" s="48" t="s">
        <v>194</v>
      </c>
      <c r="N46" s="26">
        <v>430000</v>
      </c>
      <c r="O46" s="29">
        <f t="shared" si="16"/>
        <v>1570000</v>
      </c>
      <c r="P46" s="22">
        <v>1</v>
      </c>
      <c r="Q46" s="22" t="s">
        <v>114</v>
      </c>
      <c r="R46" s="22" t="s">
        <v>115</v>
      </c>
      <c r="S46" s="22">
        <v>9763</v>
      </c>
      <c r="T46" s="22" t="s">
        <v>57</v>
      </c>
      <c r="U46" s="22" t="s">
        <v>104</v>
      </c>
      <c r="V46" s="30" t="s">
        <v>91</v>
      </c>
    </row>
    <row r="47" spans="1:22" ht="15.75" hidden="1" thickBot="1" x14ac:dyDescent="0.3">
      <c r="A47" s="31" t="s">
        <v>100</v>
      </c>
      <c r="B47" s="32">
        <v>1</v>
      </c>
      <c r="C47" s="32" t="s">
        <v>211</v>
      </c>
      <c r="D47" s="32" t="s">
        <v>210</v>
      </c>
      <c r="E47" s="32"/>
      <c r="F47" s="33">
        <f t="shared" ref="F47:F50" si="26">O46</f>
        <v>1570000</v>
      </c>
      <c r="G47" s="34">
        <v>2</v>
      </c>
      <c r="H47" s="35">
        <v>1.4999999999999999E-2</v>
      </c>
      <c r="I47" s="9">
        <f t="shared" ref="I47:I50" si="27">F47*H47</f>
        <v>23550</v>
      </c>
      <c r="J47" s="17">
        <v>45910</v>
      </c>
      <c r="K47" s="12" t="s">
        <v>10</v>
      </c>
      <c r="L47" s="9">
        <f>($F$46/5)+I47</f>
        <v>423550</v>
      </c>
      <c r="M47" s="48" t="s">
        <v>194</v>
      </c>
      <c r="N47" s="9">
        <v>423550</v>
      </c>
      <c r="O47" s="36">
        <f t="shared" si="16"/>
        <v>1146450</v>
      </c>
      <c r="P47" s="32">
        <v>1</v>
      </c>
      <c r="Q47" s="32" t="s">
        <v>114</v>
      </c>
      <c r="R47" s="32">
        <v>9355</v>
      </c>
      <c r="S47" s="32">
        <v>2651</v>
      </c>
      <c r="T47" s="32"/>
      <c r="U47" s="32" t="s">
        <v>104</v>
      </c>
      <c r="V47" s="1" t="s">
        <v>91</v>
      </c>
    </row>
    <row r="48" spans="1:22" ht="15.75" hidden="1" thickBot="1" x14ac:dyDescent="0.3">
      <c r="A48" s="31" t="s">
        <v>101</v>
      </c>
      <c r="B48" s="32">
        <v>1</v>
      </c>
      <c r="C48" s="32" t="s">
        <v>211</v>
      </c>
      <c r="D48" s="32" t="s">
        <v>210</v>
      </c>
      <c r="E48" s="32"/>
      <c r="F48" s="33">
        <f t="shared" si="26"/>
        <v>1146450</v>
      </c>
      <c r="G48" s="34">
        <v>3</v>
      </c>
      <c r="H48" s="35">
        <v>1.4999999999999999E-2</v>
      </c>
      <c r="I48" s="9">
        <f t="shared" si="27"/>
        <v>17196.75</v>
      </c>
      <c r="J48" s="17">
        <v>45940</v>
      </c>
      <c r="K48" s="12" t="s">
        <v>13</v>
      </c>
      <c r="L48" s="9">
        <f>($F$46/5)+I48</f>
        <v>417196.75</v>
      </c>
      <c r="M48" s="48" t="s">
        <v>194</v>
      </c>
      <c r="N48" s="9">
        <v>417196.75</v>
      </c>
      <c r="O48" s="36">
        <f t="shared" si="16"/>
        <v>729253.25</v>
      </c>
      <c r="P48" s="32">
        <v>1</v>
      </c>
      <c r="Q48" s="32" t="s">
        <v>114</v>
      </c>
      <c r="R48" s="32" t="s">
        <v>121</v>
      </c>
      <c r="S48" s="32"/>
      <c r="T48" s="32"/>
      <c r="U48" s="32" t="s">
        <v>104</v>
      </c>
      <c r="V48" s="1" t="s">
        <v>91</v>
      </c>
    </row>
    <row r="49" spans="1:22" ht="15.75" hidden="1" thickBot="1" x14ac:dyDescent="0.3">
      <c r="A49" s="31" t="s">
        <v>102</v>
      </c>
      <c r="B49" s="32">
        <v>1</v>
      </c>
      <c r="C49" s="32" t="s">
        <v>211</v>
      </c>
      <c r="D49" s="32" t="s">
        <v>210</v>
      </c>
      <c r="E49" s="32"/>
      <c r="F49" s="33">
        <f t="shared" si="26"/>
        <v>729253.25</v>
      </c>
      <c r="G49" s="34">
        <v>4</v>
      </c>
      <c r="H49" s="35">
        <v>1.4999999999999999E-2</v>
      </c>
      <c r="I49" s="9">
        <f t="shared" si="27"/>
        <v>10938.79875</v>
      </c>
      <c r="J49" s="17">
        <v>45971</v>
      </c>
      <c r="K49" s="12" t="s">
        <v>15</v>
      </c>
      <c r="L49" s="9">
        <f>($F$46/5)+I49</f>
        <v>410938.79875000002</v>
      </c>
      <c r="M49" s="48" t="s">
        <v>194</v>
      </c>
      <c r="N49" s="9">
        <v>410936</v>
      </c>
      <c r="O49" s="36">
        <f t="shared" si="16"/>
        <v>318314.45124999998</v>
      </c>
      <c r="P49" s="32">
        <v>1</v>
      </c>
      <c r="Q49" s="32" t="s">
        <v>98</v>
      </c>
      <c r="R49" s="32">
        <v>1737</v>
      </c>
      <c r="S49" s="32">
        <v>2651</v>
      </c>
      <c r="T49" s="32"/>
      <c r="U49" s="32" t="s">
        <v>104</v>
      </c>
      <c r="V49" s="1" t="s">
        <v>91</v>
      </c>
    </row>
    <row r="50" spans="1:22" ht="15.75" hidden="1" thickBot="1" x14ac:dyDescent="0.3">
      <c r="A50" s="31" t="s">
        <v>103</v>
      </c>
      <c r="B50" s="32">
        <v>1</v>
      </c>
      <c r="C50" s="32" t="s">
        <v>211</v>
      </c>
      <c r="D50" s="32" t="s">
        <v>210</v>
      </c>
      <c r="E50" s="32"/>
      <c r="F50" s="33">
        <f t="shared" si="26"/>
        <v>318314.45124999998</v>
      </c>
      <c r="G50" s="34">
        <v>5</v>
      </c>
      <c r="H50" s="35">
        <v>1.4999999999999999E-2</v>
      </c>
      <c r="I50" s="9">
        <f t="shared" si="27"/>
        <v>4774.7167687499996</v>
      </c>
      <c r="J50" s="17">
        <v>46001</v>
      </c>
      <c r="K50" s="12" t="s">
        <v>14</v>
      </c>
      <c r="L50" s="9">
        <f>($F$46/5)+I50</f>
        <v>404774.71676874999</v>
      </c>
      <c r="M50" s="48" t="s">
        <v>194</v>
      </c>
      <c r="N50" s="9">
        <v>404774.71676874999</v>
      </c>
      <c r="O50" s="45">
        <f t="shared" si="16"/>
        <v>-86460.265518750006</v>
      </c>
      <c r="P50" s="32">
        <v>1</v>
      </c>
      <c r="Q50" s="32" t="s">
        <v>98</v>
      </c>
      <c r="R50" s="32">
        <v>7436</v>
      </c>
      <c r="S50" s="32">
        <v>2651</v>
      </c>
      <c r="T50" s="32" t="s">
        <v>56</v>
      </c>
      <c r="U50" s="32" t="s">
        <v>104</v>
      </c>
      <c r="V50" s="1" t="s">
        <v>91</v>
      </c>
    </row>
    <row r="51" spans="1:22" s="30" customFormat="1" ht="15.75" hidden="1" thickBot="1" x14ac:dyDescent="0.3">
      <c r="A51" s="47" t="s">
        <v>105</v>
      </c>
      <c r="B51" s="48">
        <v>18</v>
      </c>
      <c r="C51" s="48" t="s">
        <v>212</v>
      </c>
      <c r="D51" s="48" t="s">
        <v>213</v>
      </c>
      <c r="E51" s="48" t="s">
        <v>8</v>
      </c>
      <c r="F51" s="23">
        <v>2500000</v>
      </c>
      <c r="G51" s="49">
        <v>1</v>
      </c>
      <c r="H51" s="50">
        <v>1.4999999999999999E-2</v>
      </c>
      <c r="I51" s="14">
        <f>F51*H51</f>
        <v>37500</v>
      </c>
      <c r="J51" s="51">
        <v>45879</v>
      </c>
      <c r="K51" s="52" t="s">
        <v>9</v>
      </c>
      <c r="L51" s="79">
        <f>($F$51/5)+I51</f>
        <v>537500</v>
      </c>
      <c r="M51" s="48" t="s">
        <v>194</v>
      </c>
      <c r="N51" s="89">
        <v>537500</v>
      </c>
      <c r="O51" s="54">
        <f t="shared" si="16"/>
        <v>1962500</v>
      </c>
      <c r="P51" s="48">
        <v>1</v>
      </c>
      <c r="Q51" s="56" t="s">
        <v>18</v>
      </c>
      <c r="R51" s="48"/>
      <c r="S51" s="48"/>
      <c r="T51" s="48" t="s">
        <v>57</v>
      </c>
      <c r="U51" s="48" t="s">
        <v>110</v>
      </c>
      <c r="V51" s="30" t="s">
        <v>91</v>
      </c>
    </row>
    <row r="52" spans="1:22" ht="15.75" hidden="1" thickBot="1" x14ac:dyDescent="0.3">
      <c r="A52" s="55" t="s">
        <v>106</v>
      </c>
      <c r="B52" s="56">
        <v>18</v>
      </c>
      <c r="C52" s="56" t="s">
        <v>212</v>
      </c>
      <c r="D52" s="56" t="s">
        <v>213</v>
      </c>
      <c r="E52" s="56">
        <v>0</v>
      </c>
      <c r="F52" s="83">
        <f t="shared" ref="F52:F54" si="28">O51</f>
        <v>1962500</v>
      </c>
      <c r="G52" s="58">
        <v>2</v>
      </c>
      <c r="H52" s="59">
        <v>1.4999999999999999E-2</v>
      </c>
      <c r="I52" s="8">
        <f t="shared" ref="I52:I54" si="29">F52*H52</f>
        <v>29437.5</v>
      </c>
      <c r="J52" s="18">
        <v>45910</v>
      </c>
      <c r="K52" s="19" t="s">
        <v>10</v>
      </c>
      <c r="L52" s="76">
        <f>($F$51/5)+I52</f>
        <v>529437.5</v>
      </c>
      <c r="M52" s="48" t="s">
        <v>194</v>
      </c>
      <c r="N52" s="90">
        <v>529437.5</v>
      </c>
      <c r="O52" s="60">
        <f t="shared" si="16"/>
        <v>1433062.5</v>
      </c>
      <c r="P52" s="56">
        <v>1</v>
      </c>
      <c r="Q52" s="56" t="s">
        <v>18</v>
      </c>
      <c r="R52" s="56"/>
      <c r="S52" s="56"/>
      <c r="T52" s="56"/>
      <c r="U52" s="56" t="s">
        <v>110</v>
      </c>
      <c r="V52" s="1" t="s">
        <v>91</v>
      </c>
    </row>
    <row r="53" spans="1:22" ht="15.75" hidden="1" thickBot="1" x14ac:dyDescent="0.3">
      <c r="A53" s="55" t="s">
        <v>107</v>
      </c>
      <c r="B53" s="56">
        <v>18</v>
      </c>
      <c r="C53" s="56" t="s">
        <v>212</v>
      </c>
      <c r="D53" s="56" t="s">
        <v>213</v>
      </c>
      <c r="E53" s="56">
        <v>0</v>
      </c>
      <c r="F53" s="83">
        <f t="shared" si="28"/>
        <v>1433062.5</v>
      </c>
      <c r="G53" s="58">
        <v>3</v>
      </c>
      <c r="H53" s="59">
        <v>1.4999999999999999E-2</v>
      </c>
      <c r="I53" s="8">
        <f t="shared" si="29"/>
        <v>21495.9375</v>
      </c>
      <c r="J53" s="18">
        <v>45940</v>
      </c>
      <c r="K53" s="78" t="s">
        <v>13</v>
      </c>
      <c r="L53" s="76">
        <f>($F$51/5)+I53</f>
        <v>521495.9375</v>
      </c>
      <c r="M53" s="48" t="s">
        <v>194</v>
      </c>
      <c r="N53" s="90">
        <v>521495.9375</v>
      </c>
      <c r="O53" s="60">
        <f t="shared" si="16"/>
        <v>911566.5625</v>
      </c>
      <c r="P53" s="56">
        <v>1</v>
      </c>
      <c r="Q53" s="56" t="s">
        <v>18</v>
      </c>
      <c r="R53" s="56">
        <v>9083</v>
      </c>
      <c r="S53" s="56"/>
      <c r="T53" s="56"/>
      <c r="U53" s="56" t="s">
        <v>110</v>
      </c>
      <c r="V53" s="1" t="s">
        <v>91</v>
      </c>
    </row>
    <row r="54" spans="1:22" ht="15.75" hidden="1" thickBot="1" x14ac:dyDescent="0.3">
      <c r="A54" s="55" t="s">
        <v>108</v>
      </c>
      <c r="B54" s="56">
        <v>18</v>
      </c>
      <c r="C54" s="56" t="s">
        <v>212</v>
      </c>
      <c r="D54" s="56" t="s">
        <v>213</v>
      </c>
      <c r="E54" s="56">
        <v>0</v>
      </c>
      <c r="F54" s="83">
        <f t="shared" si="28"/>
        <v>911566.5625</v>
      </c>
      <c r="G54" s="58">
        <v>4</v>
      </c>
      <c r="H54" s="59">
        <v>1.4999999999999999E-2</v>
      </c>
      <c r="I54" s="76">
        <f t="shared" si="29"/>
        <v>13673.4984375</v>
      </c>
      <c r="J54" s="77">
        <v>45971</v>
      </c>
      <c r="K54" s="78" t="s">
        <v>15</v>
      </c>
      <c r="L54" s="76">
        <f>($F$51/5)+I54</f>
        <v>513673.49843749998</v>
      </c>
      <c r="M54" s="48" t="s">
        <v>194</v>
      </c>
      <c r="N54" s="76">
        <v>513673.49843749998</v>
      </c>
      <c r="O54" s="60">
        <f t="shared" si="16"/>
        <v>397893.06406250002</v>
      </c>
      <c r="P54" s="56">
        <v>1</v>
      </c>
      <c r="Q54" s="56" t="s">
        <v>18</v>
      </c>
      <c r="R54" s="56"/>
      <c r="S54" s="56"/>
      <c r="T54" s="56"/>
      <c r="U54" s="56" t="s">
        <v>110</v>
      </c>
      <c r="V54" s="1" t="s">
        <v>91</v>
      </c>
    </row>
    <row r="55" spans="1:22" ht="15.75" hidden="1" thickBot="1" x14ac:dyDescent="0.3">
      <c r="A55" s="61" t="s">
        <v>109</v>
      </c>
      <c r="B55" s="62">
        <v>18</v>
      </c>
      <c r="C55" s="62" t="s">
        <v>212</v>
      </c>
      <c r="D55" s="62" t="s">
        <v>213</v>
      </c>
      <c r="E55" s="62">
        <v>0</v>
      </c>
      <c r="F55" s="84">
        <f t="shared" ref="F55" si="30">O54</f>
        <v>397893.06406250002</v>
      </c>
      <c r="G55" s="64">
        <v>5</v>
      </c>
      <c r="H55" s="65">
        <v>1.4999999999999999E-2</v>
      </c>
      <c r="I55" s="80">
        <f t="shared" ref="I55:I57" si="31">F55*H55</f>
        <v>5968.3959609374997</v>
      </c>
      <c r="J55" s="81">
        <v>46001</v>
      </c>
      <c r="K55" s="82" t="s">
        <v>14</v>
      </c>
      <c r="L55" s="80">
        <f>($F$51/5)+I55</f>
        <v>505968.39596093749</v>
      </c>
      <c r="M55" s="48" t="s">
        <v>194</v>
      </c>
      <c r="N55" s="80">
        <v>505968.39596093749</v>
      </c>
      <c r="O55" s="69">
        <f t="shared" ref="O55:O57" si="32">F55-L55</f>
        <v>-108075.33189843746</v>
      </c>
      <c r="P55" s="62">
        <v>1</v>
      </c>
      <c r="Q55" s="56" t="s">
        <v>18</v>
      </c>
      <c r="R55" s="62"/>
      <c r="S55" s="62"/>
      <c r="T55" s="62" t="s">
        <v>56</v>
      </c>
      <c r="U55" s="62" t="s">
        <v>110</v>
      </c>
      <c r="V55" s="1" t="s">
        <v>91</v>
      </c>
    </row>
    <row r="56" spans="1:22" s="30" customFormat="1" ht="15.75" hidden="1" thickBot="1" x14ac:dyDescent="0.3">
      <c r="A56" s="21" t="s">
        <v>111</v>
      </c>
      <c r="B56" s="22">
        <v>2</v>
      </c>
      <c r="C56" s="22" t="s">
        <v>202</v>
      </c>
      <c r="D56" s="22" t="s">
        <v>198</v>
      </c>
      <c r="E56" s="22" t="s">
        <v>9</v>
      </c>
      <c r="F56" s="23">
        <v>3000000</v>
      </c>
      <c r="G56" s="24">
        <v>1</v>
      </c>
      <c r="H56" s="25">
        <v>1.4999999999999999E-2</v>
      </c>
      <c r="I56" s="26">
        <f t="shared" si="31"/>
        <v>45000</v>
      </c>
      <c r="J56" s="17">
        <v>45910</v>
      </c>
      <c r="K56" s="12" t="s">
        <v>10</v>
      </c>
      <c r="L56" s="26">
        <f>(F56/3)+I56</f>
        <v>1045000</v>
      </c>
      <c r="M56" s="48" t="s">
        <v>194</v>
      </c>
      <c r="N56" s="86">
        <v>1045000</v>
      </c>
      <c r="O56" s="70">
        <f t="shared" si="32"/>
        <v>1955000</v>
      </c>
      <c r="P56" s="22">
        <v>1</v>
      </c>
      <c r="Q56" s="32" t="s">
        <v>51</v>
      </c>
      <c r="R56" s="22">
        <v>14822564</v>
      </c>
      <c r="S56" s="22">
        <v>8600</v>
      </c>
      <c r="T56" s="22" t="s">
        <v>57</v>
      </c>
      <c r="U56" s="22" t="s">
        <v>117</v>
      </c>
      <c r="V56" s="30" t="s">
        <v>91</v>
      </c>
    </row>
    <row r="57" spans="1:22" ht="15.75" hidden="1" thickBot="1" x14ac:dyDescent="0.3">
      <c r="A57" s="31" t="s">
        <v>112</v>
      </c>
      <c r="B57" s="32">
        <v>2</v>
      </c>
      <c r="C57" s="32" t="s">
        <v>202</v>
      </c>
      <c r="D57" s="32" t="s">
        <v>198</v>
      </c>
      <c r="E57" s="32">
        <v>0</v>
      </c>
      <c r="F57" s="85">
        <f>O56</f>
        <v>1955000</v>
      </c>
      <c r="G57" s="34">
        <v>2</v>
      </c>
      <c r="H57" s="35">
        <v>1.4999999999999999E-2</v>
      </c>
      <c r="I57" s="9">
        <f t="shared" si="31"/>
        <v>29325</v>
      </c>
      <c r="J57" s="17">
        <v>45940</v>
      </c>
      <c r="K57" s="12" t="s">
        <v>13</v>
      </c>
      <c r="L57" s="9">
        <f>(F56/3)+I57</f>
        <v>1029325</v>
      </c>
      <c r="M57" s="48" t="s">
        <v>194</v>
      </c>
      <c r="N57" s="87">
        <v>1029325</v>
      </c>
      <c r="O57" s="36">
        <f t="shared" si="32"/>
        <v>925675</v>
      </c>
      <c r="P57" s="32">
        <v>1</v>
      </c>
      <c r="Q57" s="32" t="s">
        <v>51</v>
      </c>
      <c r="R57" s="32">
        <v>16666270</v>
      </c>
      <c r="S57" s="32">
        <v>8600</v>
      </c>
      <c r="T57" s="32"/>
      <c r="U57" s="32" t="s">
        <v>117</v>
      </c>
      <c r="V57" s="1" t="s">
        <v>91</v>
      </c>
    </row>
    <row r="58" spans="1:22" ht="15.75" hidden="1" thickBot="1" x14ac:dyDescent="0.3">
      <c r="A58" s="31" t="s">
        <v>113</v>
      </c>
      <c r="B58" s="32">
        <v>2</v>
      </c>
      <c r="C58" s="32" t="s">
        <v>202</v>
      </c>
      <c r="D58" s="32" t="s">
        <v>198</v>
      </c>
      <c r="E58" s="32">
        <v>0</v>
      </c>
      <c r="F58" s="85">
        <f>O57</f>
        <v>925675</v>
      </c>
      <c r="G58" s="34">
        <v>3</v>
      </c>
      <c r="H58" s="35">
        <v>1.4999999999999999E-2</v>
      </c>
      <c r="I58" s="9">
        <f t="shared" ref="I58" si="33">F58*H58</f>
        <v>13885.125</v>
      </c>
      <c r="J58" s="17">
        <v>45971</v>
      </c>
      <c r="K58" s="12" t="s">
        <v>15</v>
      </c>
      <c r="L58" s="9">
        <f>(F56/3)+I58</f>
        <v>1013885.125</v>
      </c>
      <c r="M58" s="48" t="s">
        <v>194</v>
      </c>
      <c r="N58" s="87">
        <v>1013885.125</v>
      </c>
      <c r="O58" s="36">
        <f t="shared" ref="O58:O59" si="34">F58-L58</f>
        <v>-88210.125</v>
      </c>
      <c r="P58" s="32">
        <v>1</v>
      </c>
      <c r="Q58" s="32" t="s">
        <v>51</v>
      </c>
      <c r="R58" s="32">
        <v>19176592</v>
      </c>
      <c r="S58" s="32">
        <v>8600</v>
      </c>
      <c r="T58" s="32" t="s">
        <v>56</v>
      </c>
      <c r="U58" s="32" t="s">
        <v>117</v>
      </c>
      <c r="V58" s="1" t="s">
        <v>91</v>
      </c>
    </row>
    <row r="59" spans="1:22" s="30" customFormat="1" ht="15.75" hidden="1" thickBot="1" x14ac:dyDescent="0.3">
      <c r="A59" s="47" t="s">
        <v>119</v>
      </c>
      <c r="B59" s="48">
        <v>14</v>
      </c>
      <c r="C59" s="48" t="s">
        <v>214</v>
      </c>
      <c r="D59" s="48" t="s">
        <v>201</v>
      </c>
      <c r="E59" s="48" t="s">
        <v>13</v>
      </c>
      <c r="F59" s="23">
        <v>3650000</v>
      </c>
      <c r="G59" s="49">
        <v>1</v>
      </c>
      <c r="H59" s="50">
        <v>1.4999999999999999E-2</v>
      </c>
      <c r="I59" s="14">
        <f>F59*H59</f>
        <v>54750</v>
      </c>
      <c r="J59" s="51">
        <v>45972</v>
      </c>
      <c r="K59" s="52" t="s">
        <v>15</v>
      </c>
      <c r="L59" s="79">
        <f>($F$59/1)+I59</f>
        <v>3704750</v>
      </c>
      <c r="M59" s="48" t="s">
        <v>194</v>
      </c>
      <c r="N59" s="92">
        <v>3704750</v>
      </c>
      <c r="O59" s="54">
        <f t="shared" si="34"/>
        <v>-54750</v>
      </c>
      <c r="P59" s="48">
        <v>1</v>
      </c>
      <c r="Q59" s="48"/>
      <c r="R59" s="48"/>
      <c r="S59" s="48">
        <v>3059</v>
      </c>
      <c r="T59" s="48" t="s">
        <v>56</v>
      </c>
      <c r="U59" s="48" t="s">
        <v>120</v>
      </c>
      <c r="V59" s="30" t="s">
        <v>91</v>
      </c>
    </row>
    <row r="60" spans="1:22" ht="15.75" hidden="1" thickBot="1" x14ac:dyDescent="0.3">
      <c r="A60" s="31" t="s">
        <v>122</v>
      </c>
      <c r="B60" s="32">
        <v>5</v>
      </c>
      <c r="C60" s="32" t="s">
        <v>200</v>
      </c>
      <c r="D60" s="32" t="s">
        <v>201</v>
      </c>
      <c r="E60" s="32" t="s">
        <v>3</v>
      </c>
      <c r="F60" s="23">
        <v>4000000</v>
      </c>
      <c r="G60" s="34">
        <v>1</v>
      </c>
      <c r="H60" s="35">
        <v>1.4E-2</v>
      </c>
      <c r="I60" s="9">
        <f>F60*H60</f>
        <v>56000</v>
      </c>
      <c r="J60" s="17">
        <v>46091</v>
      </c>
      <c r="K60" s="12" t="s">
        <v>4</v>
      </c>
      <c r="L60" s="9">
        <f>($F$60/10)+I60</f>
        <v>456000</v>
      </c>
      <c r="M60" s="32" t="s">
        <v>132</v>
      </c>
      <c r="N60" s="87"/>
      <c r="O60" s="36">
        <f>$F$60/10</f>
        <v>400000</v>
      </c>
      <c r="P60" s="32">
        <v>0</v>
      </c>
      <c r="Q60" s="32"/>
      <c r="R60" s="32"/>
      <c r="S60" s="32"/>
      <c r="T60" s="32" t="s">
        <v>57</v>
      </c>
      <c r="U60" s="32" t="s">
        <v>133</v>
      </c>
      <c r="V60" s="1" t="s">
        <v>132</v>
      </c>
    </row>
    <row r="61" spans="1:22" ht="15.75" hidden="1" thickBot="1" x14ac:dyDescent="0.3">
      <c r="A61" s="31" t="s">
        <v>123</v>
      </c>
      <c r="B61" s="32">
        <v>5</v>
      </c>
      <c r="C61" s="32" t="s">
        <v>200</v>
      </c>
      <c r="D61" s="32" t="s">
        <v>201</v>
      </c>
      <c r="E61" s="32">
        <v>0</v>
      </c>
      <c r="F61" s="93">
        <f t="shared" ref="F61:F69" si="35">F60-O61</f>
        <v>3600000</v>
      </c>
      <c r="G61" s="34">
        <v>2</v>
      </c>
      <c r="H61" s="35">
        <v>1.4E-2</v>
      </c>
      <c r="I61" s="9">
        <f t="shared" ref="I61:I66" si="36">F61*H61</f>
        <v>50400</v>
      </c>
      <c r="J61" s="17">
        <v>46122</v>
      </c>
      <c r="K61" s="12" t="s">
        <v>5</v>
      </c>
      <c r="L61" s="9">
        <f t="shared" ref="L61:L69" si="37">($F$60/10)+I61</f>
        <v>450400</v>
      </c>
      <c r="M61" s="32" t="s">
        <v>132</v>
      </c>
      <c r="N61" s="87"/>
      <c r="O61" s="36">
        <f t="shared" ref="O61:O69" si="38">$F$60/10</f>
        <v>400000</v>
      </c>
      <c r="P61" s="32">
        <v>0</v>
      </c>
      <c r="Q61" s="32"/>
      <c r="R61" s="32"/>
      <c r="S61" s="32"/>
      <c r="T61" s="32"/>
      <c r="U61" s="32" t="s">
        <v>133</v>
      </c>
      <c r="V61" s="1" t="s">
        <v>132</v>
      </c>
    </row>
    <row r="62" spans="1:22" ht="15.75" hidden="1" thickBot="1" x14ac:dyDescent="0.3">
      <c r="A62" s="31" t="s">
        <v>124</v>
      </c>
      <c r="B62" s="32">
        <v>5</v>
      </c>
      <c r="C62" s="32" t="s">
        <v>200</v>
      </c>
      <c r="D62" s="32" t="s">
        <v>201</v>
      </c>
      <c r="E62" s="32">
        <v>0</v>
      </c>
      <c r="F62" s="93">
        <f t="shared" si="35"/>
        <v>3200000</v>
      </c>
      <c r="G62" s="34">
        <v>3</v>
      </c>
      <c r="H62" s="35">
        <v>1.4E-2</v>
      </c>
      <c r="I62" s="9">
        <f t="shared" si="36"/>
        <v>44800</v>
      </c>
      <c r="J62" s="17">
        <v>46152</v>
      </c>
      <c r="K62" s="12" t="s">
        <v>6</v>
      </c>
      <c r="L62" s="9">
        <f t="shared" si="37"/>
        <v>444800</v>
      </c>
      <c r="M62" s="32" t="s">
        <v>132</v>
      </c>
      <c r="N62" s="87"/>
      <c r="O62" s="36">
        <f t="shared" si="38"/>
        <v>400000</v>
      </c>
      <c r="P62" s="32">
        <v>0</v>
      </c>
      <c r="Q62" s="32"/>
      <c r="R62" s="32"/>
      <c r="S62" s="32"/>
      <c r="T62" s="32"/>
      <c r="U62" s="32" t="s">
        <v>133</v>
      </c>
      <c r="V62" s="1" t="s">
        <v>132</v>
      </c>
    </row>
    <row r="63" spans="1:22" ht="15.75" hidden="1" thickBot="1" x14ac:dyDescent="0.3">
      <c r="A63" s="31" t="s">
        <v>125</v>
      </c>
      <c r="B63" s="32">
        <v>5</v>
      </c>
      <c r="C63" s="32" t="s">
        <v>200</v>
      </c>
      <c r="D63" s="32" t="s">
        <v>201</v>
      </c>
      <c r="E63" s="32">
        <v>0</v>
      </c>
      <c r="F63" s="93">
        <f t="shared" si="35"/>
        <v>2800000</v>
      </c>
      <c r="G63" s="34">
        <v>4</v>
      </c>
      <c r="H63" s="35">
        <v>1.4E-2</v>
      </c>
      <c r="I63" s="9">
        <f t="shared" si="36"/>
        <v>39200</v>
      </c>
      <c r="J63" s="17">
        <v>46183</v>
      </c>
      <c r="K63" s="12" t="s">
        <v>7</v>
      </c>
      <c r="L63" s="9">
        <f t="shared" si="37"/>
        <v>439200</v>
      </c>
      <c r="M63" s="32" t="s">
        <v>132</v>
      </c>
      <c r="N63" s="87"/>
      <c r="O63" s="36">
        <f t="shared" si="38"/>
        <v>400000</v>
      </c>
      <c r="P63" s="32">
        <v>0</v>
      </c>
      <c r="Q63" s="32"/>
      <c r="R63" s="32"/>
      <c r="S63" s="32"/>
      <c r="T63" s="32"/>
      <c r="U63" s="32" t="s">
        <v>133</v>
      </c>
      <c r="V63" s="1" t="s">
        <v>132</v>
      </c>
    </row>
    <row r="64" spans="1:22" ht="15.75" hidden="1" thickBot="1" x14ac:dyDescent="0.3">
      <c r="A64" s="31" t="s">
        <v>126</v>
      </c>
      <c r="B64" s="32">
        <v>5</v>
      </c>
      <c r="C64" s="32" t="s">
        <v>200</v>
      </c>
      <c r="D64" s="32" t="s">
        <v>201</v>
      </c>
      <c r="E64" s="32">
        <v>0</v>
      </c>
      <c r="F64" s="93">
        <f t="shared" si="35"/>
        <v>2400000</v>
      </c>
      <c r="G64" s="34">
        <v>5</v>
      </c>
      <c r="H64" s="35">
        <v>1.4E-2</v>
      </c>
      <c r="I64" s="9">
        <f t="shared" si="36"/>
        <v>33600</v>
      </c>
      <c r="J64" s="17">
        <v>46213</v>
      </c>
      <c r="K64" s="12" t="s">
        <v>8</v>
      </c>
      <c r="L64" s="9">
        <f t="shared" si="37"/>
        <v>433600</v>
      </c>
      <c r="M64" s="32" t="s">
        <v>132</v>
      </c>
      <c r="N64" s="87"/>
      <c r="O64" s="36">
        <f t="shared" si="38"/>
        <v>400000</v>
      </c>
      <c r="P64" s="32">
        <v>0</v>
      </c>
      <c r="Q64" s="32"/>
      <c r="R64" s="32"/>
      <c r="S64" s="32"/>
      <c r="T64" s="32"/>
      <c r="U64" s="32" t="s">
        <v>133</v>
      </c>
      <c r="V64" s="1" t="s">
        <v>132</v>
      </c>
    </row>
    <row r="65" spans="1:22" ht="15.75" hidden="1" thickBot="1" x14ac:dyDescent="0.3">
      <c r="A65" s="31" t="s">
        <v>127</v>
      </c>
      <c r="B65" s="32">
        <v>5</v>
      </c>
      <c r="C65" s="32" t="s">
        <v>200</v>
      </c>
      <c r="D65" s="32" t="s">
        <v>201</v>
      </c>
      <c r="E65" s="32">
        <v>0</v>
      </c>
      <c r="F65" s="93">
        <f t="shared" si="35"/>
        <v>2000000</v>
      </c>
      <c r="G65" s="34">
        <v>6</v>
      </c>
      <c r="H65" s="35">
        <v>1.4E-2</v>
      </c>
      <c r="I65" s="9">
        <f t="shared" si="36"/>
        <v>28000</v>
      </c>
      <c r="J65" s="17">
        <v>46244</v>
      </c>
      <c r="K65" s="12" t="s">
        <v>9</v>
      </c>
      <c r="L65" s="9">
        <f t="shared" si="37"/>
        <v>428000</v>
      </c>
      <c r="M65" s="32" t="s">
        <v>132</v>
      </c>
      <c r="N65" s="87"/>
      <c r="O65" s="36">
        <f t="shared" si="38"/>
        <v>400000</v>
      </c>
      <c r="P65" s="32">
        <v>0</v>
      </c>
      <c r="Q65" s="32"/>
      <c r="R65" s="32"/>
      <c r="S65" s="32"/>
      <c r="T65" s="32"/>
      <c r="U65" s="32" t="s">
        <v>133</v>
      </c>
      <c r="V65" s="1" t="s">
        <v>132</v>
      </c>
    </row>
    <row r="66" spans="1:22" ht="15.75" hidden="1" thickBot="1" x14ac:dyDescent="0.3">
      <c r="A66" s="31" t="s">
        <v>128</v>
      </c>
      <c r="B66" s="32">
        <v>5</v>
      </c>
      <c r="C66" s="32" t="s">
        <v>200</v>
      </c>
      <c r="D66" s="32" t="s">
        <v>201</v>
      </c>
      <c r="E66" s="32">
        <v>0</v>
      </c>
      <c r="F66" s="93">
        <f t="shared" si="35"/>
        <v>1600000</v>
      </c>
      <c r="G66" s="34">
        <v>7</v>
      </c>
      <c r="H66" s="35">
        <v>1.4E-2</v>
      </c>
      <c r="I66" s="9">
        <f t="shared" si="36"/>
        <v>22400</v>
      </c>
      <c r="J66" s="17">
        <v>46275</v>
      </c>
      <c r="K66" s="12" t="s">
        <v>10</v>
      </c>
      <c r="L66" s="9">
        <f t="shared" si="37"/>
        <v>422400</v>
      </c>
      <c r="M66" s="32" t="s">
        <v>132</v>
      </c>
      <c r="N66" s="87"/>
      <c r="O66" s="36">
        <f t="shared" si="38"/>
        <v>400000</v>
      </c>
      <c r="P66" s="32">
        <v>0</v>
      </c>
      <c r="Q66" s="32"/>
      <c r="R66" s="32"/>
      <c r="S66" s="32"/>
      <c r="T66" s="32"/>
      <c r="U66" s="32" t="s">
        <v>133</v>
      </c>
      <c r="V66" s="1" t="s">
        <v>132</v>
      </c>
    </row>
    <row r="67" spans="1:22" ht="15.75" hidden="1" thickBot="1" x14ac:dyDescent="0.3">
      <c r="A67" s="31" t="s">
        <v>129</v>
      </c>
      <c r="B67" s="32">
        <v>5</v>
      </c>
      <c r="C67" s="32" t="s">
        <v>200</v>
      </c>
      <c r="D67" s="32" t="s">
        <v>201</v>
      </c>
      <c r="E67" s="32">
        <v>0</v>
      </c>
      <c r="F67" s="93">
        <f t="shared" si="35"/>
        <v>1200000</v>
      </c>
      <c r="G67" s="34">
        <v>8</v>
      </c>
      <c r="H67" s="35">
        <v>1.4E-2</v>
      </c>
      <c r="I67" s="9">
        <f t="shared" ref="I67:I68" si="39">F67*H67</f>
        <v>16800</v>
      </c>
      <c r="J67" s="17">
        <v>46305</v>
      </c>
      <c r="K67" s="12" t="s">
        <v>13</v>
      </c>
      <c r="L67" s="9">
        <f t="shared" si="37"/>
        <v>416800</v>
      </c>
      <c r="M67" s="32" t="s">
        <v>132</v>
      </c>
      <c r="N67" s="87"/>
      <c r="O67" s="36">
        <f t="shared" si="38"/>
        <v>400000</v>
      </c>
      <c r="P67" s="32">
        <v>0</v>
      </c>
      <c r="Q67" s="32"/>
      <c r="R67" s="32"/>
      <c r="S67" s="32"/>
      <c r="T67" s="32"/>
      <c r="U67" s="32" t="s">
        <v>133</v>
      </c>
      <c r="V67" s="1" t="s">
        <v>132</v>
      </c>
    </row>
    <row r="68" spans="1:22" ht="15.75" hidden="1" thickBot="1" x14ac:dyDescent="0.3">
      <c r="A68" s="31" t="s">
        <v>130</v>
      </c>
      <c r="B68" s="32">
        <v>5</v>
      </c>
      <c r="C68" s="32" t="s">
        <v>200</v>
      </c>
      <c r="D68" s="32" t="s">
        <v>201</v>
      </c>
      <c r="E68" s="32">
        <v>0</v>
      </c>
      <c r="F68" s="93">
        <f t="shared" si="35"/>
        <v>800000</v>
      </c>
      <c r="G68" s="34">
        <v>9</v>
      </c>
      <c r="H68" s="35">
        <v>1.4E-2</v>
      </c>
      <c r="I68" s="9">
        <f t="shared" si="39"/>
        <v>11200</v>
      </c>
      <c r="J68" s="17">
        <v>46336</v>
      </c>
      <c r="K68" s="12" t="s">
        <v>15</v>
      </c>
      <c r="L68" s="9">
        <f t="shared" si="37"/>
        <v>411200</v>
      </c>
      <c r="M68" s="32" t="s">
        <v>132</v>
      </c>
      <c r="N68" s="87"/>
      <c r="O68" s="36">
        <f t="shared" si="38"/>
        <v>400000</v>
      </c>
      <c r="P68" s="32">
        <v>0</v>
      </c>
      <c r="Q68" s="32"/>
      <c r="R68" s="32"/>
      <c r="S68" s="32"/>
      <c r="T68" s="32"/>
      <c r="U68" s="32" t="s">
        <v>133</v>
      </c>
      <c r="V68" s="1" t="s">
        <v>132</v>
      </c>
    </row>
    <row r="69" spans="1:22" ht="15.75" hidden="1" thickBot="1" x14ac:dyDescent="0.3">
      <c r="A69" s="31" t="s">
        <v>131</v>
      </c>
      <c r="B69" s="32">
        <v>5</v>
      </c>
      <c r="C69" s="32" t="s">
        <v>200</v>
      </c>
      <c r="D69" s="32" t="s">
        <v>201</v>
      </c>
      <c r="E69" s="32">
        <v>0</v>
      </c>
      <c r="F69" s="93">
        <f t="shared" si="35"/>
        <v>400000</v>
      </c>
      <c r="G69" s="34">
        <v>10</v>
      </c>
      <c r="H69" s="35">
        <v>1.4E-2</v>
      </c>
      <c r="I69" s="9">
        <f t="shared" ref="I69:I75" si="40">F69*H69</f>
        <v>5600</v>
      </c>
      <c r="J69" s="17">
        <v>46366</v>
      </c>
      <c r="K69" s="12" t="s">
        <v>14</v>
      </c>
      <c r="L69" s="9">
        <f t="shared" si="37"/>
        <v>405600</v>
      </c>
      <c r="M69" s="32" t="s">
        <v>132</v>
      </c>
      <c r="N69" s="87"/>
      <c r="O69" s="36">
        <f t="shared" si="38"/>
        <v>400000</v>
      </c>
      <c r="P69" s="32">
        <v>0</v>
      </c>
      <c r="Q69" s="32"/>
      <c r="R69" s="32"/>
      <c r="S69" s="32"/>
      <c r="T69" s="32" t="s">
        <v>56</v>
      </c>
      <c r="U69" s="32" t="s">
        <v>133</v>
      </c>
      <c r="V69" s="1" t="s">
        <v>132</v>
      </c>
    </row>
    <row r="70" spans="1:22" ht="15.75" hidden="1" thickBot="1" x14ac:dyDescent="0.3">
      <c r="A70" s="55" t="s">
        <v>134</v>
      </c>
      <c r="B70" s="56">
        <v>20</v>
      </c>
      <c r="C70" s="56" t="s">
        <v>199</v>
      </c>
      <c r="D70" s="56" t="s">
        <v>198</v>
      </c>
      <c r="E70" s="56" t="s">
        <v>2</v>
      </c>
      <c r="F70" s="23">
        <v>3000000</v>
      </c>
      <c r="G70" s="58">
        <v>1</v>
      </c>
      <c r="H70" s="59">
        <v>1.4E-2</v>
      </c>
      <c r="I70" s="8">
        <f t="shared" si="40"/>
        <v>42000</v>
      </c>
      <c r="J70" s="18">
        <v>46060</v>
      </c>
      <c r="K70" s="78" t="s">
        <v>3</v>
      </c>
      <c r="L70" s="76">
        <f>($F$70/6)+I70</f>
        <v>542000</v>
      </c>
      <c r="M70" s="56" t="s">
        <v>54</v>
      </c>
      <c r="N70" s="90">
        <v>542000</v>
      </c>
      <c r="O70" s="60">
        <f>$F$70/6</f>
        <v>500000</v>
      </c>
      <c r="P70" s="32">
        <v>1</v>
      </c>
      <c r="Q70" s="56"/>
      <c r="R70" s="56">
        <v>8381</v>
      </c>
      <c r="S70" s="56"/>
      <c r="T70" s="56" t="s">
        <v>57</v>
      </c>
      <c r="U70" s="56" t="s">
        <v>142</v>
      </c>
      <c r="V70" s="1" t="s">
        <v>91</v>
      </c>
    </row>
    <row r="71" spans="1:22" ht="15.75" hidden="1" thickBot="1" x14ac:dyDescent="0.3">
      <c r="A71" s="55" t="s">
        <v>135</v>
      </c>
      <c r="B71" s="56">
        <v>20</v>
      </c>
      <c r="C71" s="56" t="s">
        <v>199</v>
      </c>
      <c r="D71" s="56" t="s">
        <v>198</v>
      </c>
      <c r="E71" s="56">
        <v>0</v>
      </c>
      <c r="F71" s="23">
        <v>3000000</v>
      </c>
      <c r="G71" s="58">
        <v>2</v>
      </c>
      <c r="H71" s="59">
        <v>1.4E-2</v>
      </c>
      <c r="I71" s="8">
        <f t="shared" si="40"/>
        <v>42000</v>
      </c>
      <c r="J71" s="18">
        <v>46091</v>
      </c>
      <c r="K71" s="78" t="s">
        <v>4</v>
      </c>
      <c r="L71" s="76">
        <f>($F$70/6)+I71</f>
        <v>542000</v>
      </c>
      <c r="M71" s="56" t="s">
        <v>132</v>
      </c>
      <c r="N71" s="90"/>
      <c r="O71" s="60">
        <f t="shared" ref="O71:O75" si="41">$F$70/6</f>
        <v>500000</v>
      </c>
      <c r="P71" s="32">
        <v>0</v>
      </c>
      <c r="Q71" s="56"/>
      <c r="R71" s="56"/>
      <c r="S71" s="56"/>
      <c r="T71" s="56"/>
      <c r="U71" s="56" t="s">
        <v>142</v>
      </c>
      <c r="V71" s="1" t="s">
        <v>132</v>
      </c>
    </row>
    <row r="72" spans="1:22" ht="15.75" hidden="1" thickBot="1" x14ac:dyDescent="0.3">
      <c r="A72" s="55" t="s">
        <v>136</v>
      </c>
      <c r="B72" s="56">
        <v>20</v>
      </c>
      <c r="C72" s="56" t="s">
        <v>199</v>
      </c>
      <c r="D72" s="56" t="s">
        <v>198</v>
      </c>
      <c r="E72" s="56">
        <v>0</v>
      </c>
      <c r="F72" s="83">
        <f>F71-O72</f>
        <v>2500000</v>
      </c>
      <c r="G72" s="58">
        <v>3</v>
      </c>
      <c r="H72" s="59">
        <v>1.4E-2</v>
      </c>
      <c r="I72" s="8">
        <f t="shared" si="40"/>
        <v>35000</v>
      </c>
      <c r="J72" s="18">
        <v>46122</v>
      </c>
      <c r="K72" s="78" t="s">
        <v>5</v>
      </c>
      <c r="L72" s="76">
        <f t="shared" ref="L72:L75" si="42">($F$70/6)+I72</f>
        <v>535000</v>
      </c>
      <c r="M72" s="56" t="s">
        <v>132</v>
      </c>
      <c r="N72" s="90"/>
      <c r="O72" s="60">
        <f t="shared" si="41"/>
        <v>500000</v>
      </c>
      <c r="P72" s="32">
        <v>0</v>
      </c>
      <c r="Q72" s="56"/>
      <c r="R72" s="56"/>
      <c r="S72" s="56"/>
      <c r="T72" s="56"/>
      <c r="U72" s="56" t="s">
        <v>142</v>
      </c>
      <c r="V72" s="1" t="s">
        <v>132</v>
      </c>
    </row>
    <row r="73" spans="1:22" ht="15.75" hidden="1" thickBot="1" x14ac:dyDescent="0.3">
      <c r="A73" s="55" t="s">
        <v>137</v>
      </c>
      <c r="B73" s="56">
        <v>20</v>
      </c>
      <c r="C73" s="56" t="s">
        <v>199</v>
      </c>
      <c r="D73" s="56" t="s">
        <v>198</v>
      </c>
      <c r="E73" s="56">
        <v>0</v>
      </c>
      <c r="F73" s="83">
        <f>F72-O73</f>
        <v>2000000</v>
      </c>
      <c r="G73" s="58">
        <v>4</v>
      </c>
      <c r="H73" s="59">
        <v>1.4E-2</v>
      </c>
      <c r="I73" s="8">
        <f t="shared" si="40"/>
        <v>28000</v>
      </c>
      <c r="J73" s="18">
        <v>46152</v>
      </c>
      <c r="K73" s="78" t="s">
        <v>6</v>
      </c>
      <c r="L73" s="76">
        <f t="shared" si="42"/>
        <v>528000</v>
      </c>
      <c r="M73" s="56" t="s">
        <v>132</v>
      </c>
      <c r="N73" s="90"/>
      <c r="O73" s="60">
        <f t="shared" si="41"/>
        <v>500000</v>
      </c>
      <c r="P73" s="32">
        <v>0</v>
      </c>
      <c r="Q73" s="56"/>
      <c r="R73" s="56"/>
      <c r="S73" s="56"/>
      <c r="T73" s="56"/>
      <c r="U73" s="56" t="s">
        <v>142</v>
      </c>
      <c r="V73" s="1" t="s">
        <v>132</v>
      </c>
    </row>
    <row r="74" spans="1:22" ht="15.75" hidden="1" thickBot="1" x14ac:dyDescent="0.3">
      <c r="A74" s="55" t="s">
        <v>138</v>
      </c>
      <c r="B74" s="56">
        <v>20</v>
      </c>
      <c r="C74" s="56" t="s">
        <v>199</v>
      </c>
      <c r="D74" s="56" t="s">
        <v>198</v>
      </c>
      <c r="E74" s="56">
        <v>0</v>
      </c>
      <c r="F74" s="83">
        <f>F73-O74</f>
        <v>1500000</v>
      </c>
      <c r="G74" s="58">
        <v>5</v>
      </c>
      <c r="H74" s="59">
        <v>1.4E-2</v>
      </c>
      <c r="I74" s="8">
        <f t="shared" si="40"/>
        <v>21000</v>
      </c>
      <c r="J74" s="18">
        <v>46183</v>
      </c>
      <c r="K74" s="78" t="s">
        <v>7</v>
      </c>
      <c r="L74" s="76">
        <f t="shared" si="42"/>
        <v>521000</v>
      </c>
      <c r="M74" s="56" t="s">
        <v>132</v>
      </c>
      <c r="N74" s="90"/>
      <c r="O74" s="60">
        <f t="shared" si="41"/>
        <v>500000</v>
      </c>
      <c r="P74" s="32">
        <v>0</v>
      </c>
      <c r="Q74" s="56"/>
      <c r="R74" s="56"/>
      <c r="S74" s="56"/>
      <c r="T74" s="56"/>
      <c r="U74" s="56" t="s">
        <v>142</v>
      </c>
      <c r="V74" s="1" t="s">
        <v>132</v>
      </c>
    </row>
    <row r="75" spans="1:22" ht="15.75" hidden="1" thickBot="1" x14ac:dyDescent="0.3">
      <c r="A75" s="55" t="s">
        <v>139</v>
      </c>
      <c r="B75" s="56">
        <v>20</v>
      </c>
      <c r="C75" s="56" t="s">
        <v>199</v>
      </c>
      <c r="D75" s="56" t="s">
        <v>198</v>
      </c>
      <c r="E75" s="56">
        <v>0</v>
      </c>
      <c r="F75" s="83">
        <f>F74-O75</f>
        <v>1000000</v>
      </c>
      <c r="G75" s="58">
        <v>6</v>
      </c>
      <c r="H75" s="59">
        <v>1.4E-2</v>
      </c>
      <c r="I75" s="8">
        <f t="shared" si="40"/>
        <v>14000</v>
      </c>
      <c r="J75" s="18">
        <v>46213</v>
      </c>
      <c r="K75" s="78" t="s">
        <v>8</v>
      </c>
      <c r="L75" s="76">
        <f t="shared" si="42"/>
        <v>514000</v>
      </c>
      <c r="M75" s="56" t="s">
        <v>132</v>
      </c>
      <c r="N75" s="90"/>
      <c r="O75" s="60">
        <f t="shared" si="41"/>
        <v>500000</v>
      </c>
      <c r="P75" s="32">
        <v>0</v>
      </c>
      <c r="Q75" s="56"/>
      <c r="R75" s="56"/>
      <c r="S75" s="56"/>
      <c r="T75" s="56" t="s">
        <v>56</v>
      </c>
      <c r="U75" s="56" t="s">
        <v>142</v>
      </c>
      <c r="V75" s="1" t="s">
        <v>132</v>
      </c>
    </row>
    <row r="76" spans="1:22" s="30" customFormat="1" ht="15.75" hidden="1" thickBot="1" x14ac:dyDescent="0.3">
      <c r="A76" s="21" t="s">
        <v>140</v>
      </c>
      <c r="B76" s="22">
        <v>12</v>
      </c>
      <c r="C76" s="22" t="s">
        <v>207</v>
      </c>
      <c r="D76" s="22" t="s">
        <v>208</v>
      </c>
      <c r="E76" s="22" t="s">
        <v>2</v>
      </c>
      <c r="F76" s="23">
        <v>5000000</v>
      </c>
      <c r="G76" s="24">
        <v>1</v>
      </c>
      <c r="H76" s="25">
        <v>1.4E-2</v>
      </c>
      <c r="I76" s="26">
        <f>F76*H76</f>
        <v>70000</v>
      </c>
      <c r="J76" s="27">
        <v>46060</v>
      </c>
      <c r="K76" s="28" t="s">
        <v>3</v>
      </c>
      <c r="L76" s="26">
        <f>($F$76/10)+I76</f>
        <v>570000</v>
      </c>
      <c r="M76" s="22" t="s">
        <v>54</v>
      </c>
      <c r="N76" s="86">
        <v>570000</v>
      </c>
      <c r="O76" s="29">
        <f>$F$76/10</f>
        <v>500000</v>
      </c>
      <c r="P76" s="32">
        <v>1</v>
      </c>
      <c r="Q76" s="22"/>
      <c r="R76" s="22">
        <v>3836</v>
      </c>
      <c r="S76" s="22"/>
      <c r="T76" s="22" t="s">
        <v>57</v>
      </c>
      <c r="U76" s="22" t="s">
        <v>143</v>
      </c>
      <c r="V76" s="30" t="s">
        <v>132</v>
      </c>
    </row>
    <row r="77" spans="1:22" ht="15.75" hidden="1" thickBot="1" x14ac:dyDescent="0.3">
      <c r="A77" s="31" t="s">
        <v>141</v>
      </c>
      <c r="B77" s="32">
        <v>12</v>
      </c>
      <c r="C77" s="32" t="s">
        <v>207</v>
      </c>
      <c r="D77" s="32" t="s">
        <v>208</v>
      </c>
      <c r="E77" s="32"/>
      <c r="F77" s="33">
        <f>F76-O77</f>
        <v>4500000</v>
      </c>
      <c r="G77" s="34">
        <v>2</v>
      </c>
      <c r="H77" s="35">
        <v>1.4E-2</v>
      </c>
      <c r="I77" s="9">
        <f t="shared" ref="I77:I85" si="43">F77*H77</f>
        <v>63000</v>
      </c>
      <c r="J77" s="17">
        <v>46091</v>
      </c>
      <c r="K77" s="12" t="s">
        <v>4</v>
      </c>
      <c r="L77" s="9">
        <f>($F$76/10)+I77</f>
        <v>563000</v>
      </c>
      <c r="M77" s="32" t="s">
        <v>132</v>
      </c>
      <c r="N77" s="87"/>
      <c r="O77" s="36">
        <f>$F$76/10</f>
        <v>500000</v>
      </c>
      <c r="P77" s="32">
        <v>0</v>
      </c>
      <c r="Q77" s="32"/>
      <c r="R77" s="32"/>
      <c r="S77" s="32"/>
      <c r="T77" s="32"/>
      <c r="U77" s="32" t="s">
        <v>143</v>
      </c>
      <c r="V77" s="1" t="s">
        <v>132</v>
      </c>
    </row>
    <row r="78" spans="1:22" ht="15.75" hidden="1" thickBot="1" x14ac:dyDescent="0.3">
      <c r="A78" s="31" t="s">
        <v>144</v>
      </c>
      <c r="B78" s="32">
        <v>12</v>
      </c>
      <c r="C78" s="32" t="s">
        <v>207</v>
      </c>
      <c r="D78" s="32" t="s">
        <v>208</v>
      </c>
      <c r="E78" s="32"/>
      <c r="F78" s="33">
        <f>F77-O78</f>
        <v>4000000</v>
      </c>
      <c r="G78" s="34">
        <v>3</v>
      </c>
      <c r="H78" s="35">
        <v>1.4E-2</v>
      </c>
      <c r="I78" s="9">
        <f t="shared" si="43"/>
        <v>56000</v>
      </c>
      <c r="J78" s="17">
        <v>46122</v>
      </c>
      <c r="K78" s="12" t="s">
        <v>5</v>
      </c>
      <c r="L78" s="9">
        <f t="shared" ref="L78:L85" si="44">($F$76/10)+I78</f>
        <v>556000</v>
      </c>
      <c r="M78" s="32" t="s">
        <v>132</v>
      </c>
      <c r="N78" s="87"/>
      <c r="O78" s="36">
        <f t="shared" ref="O78:O85" si="45">$F$76/10</f>
        <v>500000</v>
      </c>
      <c r="P78" s="32">
        <v>0</v>
      </c>
      <c r="Q78" s="32"/>
      <c r="R78" s="32"/>
      <c r="S78" s="32"/>
      <c r="T78" s="32"/>
      <c r="U78" s="32" t="s">
        <v>143</v>
      </c>
      <c r="V78" s="1" t="s">
        <v>132</v>
      </c>
    </row>
    <row r="79" spans="1:22" ht="15.75" hidden="1" thickBot="1" x14ac:dyDescent="0.3">
      <c r="A79" s="31" t="s">
        <v>145</v>
      </c>
      <c r="B79" s="32">
        <v>12</v>
      </c>
      <c r="C79" s="32" t="s">
        <v>207</v>
      </c>
      <c r="D79" s="32" t="s">
        <v>208</v>
      </c>
      <c r="E79" s="32"/>
      <c r="F79" s="33">
        <f>F78-O79</f>
        <v>3500000</v>
      </c>
      <c r="G79" s="34">
        <v>4</v>
      </c>
      <c r="H79" s="35">
        <v>1.4E-2</v>
      </c>
      <c r="I79" s="9">
        <f t="shared" si="43"/>
        <v>49000</v>
      </c>
      <c r="J79" s="17">
        <v>46152</v>
      </c>
      <c r="K79" s="12" t="s">
        <v>147</v>
      </c>
      <c r="L79" s="9">
        <f t="shared" si="44"/>
        <v>549000</v>
      </c>
      <c r="M79" s="32" t="s">
        <v>132</v>
      </c>
      <c r="N79" s="87"/>
      <c r="O79" s="36">
        <f t="shared" si="45"/>
        <v>500000</v>
      </c>
      <c r="P79" s="32">
        <v>0</v>
      </c>
      <c r="Q79" s="32"/>
      <c r="R79" s="32"/>
      <c r="S79" s="32"/>
      <c r="T79" s="32"/>
      <c r="U79" s="32" t="s">
        <v>143</v>
      </c>
      <c r="V79" s="1" t="s">
        <v>132</v>
      </c>
    </row>
    <row r="80" spans="1:22" ht="15.75" hidden="1" thickBot="1" x14ac:dyDescent="0.3">
      <c r="A80" s="31" t="s">
        <v>146</v>
      </c>
      <c r="B80" s="32">
        <v>12</v>
      </c>
      <c r="C80" s="32" t="s">
        <v>207</v>
      </c>
      <c r="D80" s="32" t="s">
        <v>208</v>
      </c>
      <c r="E80" s="32"/>
      <c r="F80" s="33">
        <f>F79-O80</f>
        <v>3000000</v>
      </c>
      <c r="G80" s="34">
        <v>5</v>
      </c>
      <c r="H80" s="35">
        <v>1.4E-2</v>
      </c>
      <c r="I80" s="9">
        <f t="shared" si="43"/>
        <v>42000</v>
      </c>
      <c r="J80" s="17">
        <v>46183</v>
      </c>
      <c r="K80" s="12" t="s">
        <v>7</v>
      </c>
      <c r="L80" s="9">
        <f t="shared" si="44"/>
        <v>542000</v>
      </c>
      <c r="M80" s="32" t="s">
        <v>132</v>
      </c>
      <c r="N80" s="87"/>
      <c r="O80" s="36">
        <f t="shared" si="45"/>
        <v>500000</v>
      </c>
      <c r="P80" s="32">
        <v>0</v>
      </c>
      <c r="Q80" s="32"/>
      <c r="R80" s="32"/>
      <c r="S80" s="32"/>
      <c r="T80" s="32"/>
      <c r="U80" s="32" t="s">
        <v>143</v>
      </c>
      <c r="V80" s="1" t="s">
        <v>132</v>
      </c>
    </row>
    <row r="81" spans="1:22" ht="15.75" hidden="1" thickBot="1" x14ac:dyDescent="0.3">
      <c r="A81" s="31" t="s">
        <v>148</v>
      </c>
      <c r="B81" s="32">
        <v>12</v>
      </c>
      <c r="C81" s="32" t="s">
        <v>207</v>
      </c>
      <c r="D81" s="32" t="s">
        <v>208</v>
      </c>
      <c r="E81" s="32"/>
      <c r="F81" s="33">
        <f t="shared" ref="F81:F85" si="46">F80-O81</f>
        <v>2500000</v>
      </c>
      <c r="G81" s="34">
        <v>6</v>
      </c>
      <c r="H81" s="35">
        <v>1.4E-2</v>
      </c>
      <c r="I81" s="9">
        <f t="shared" si="43"/>
        <v>35000</v>
      </c>
      <c r="J81" s="17">
        <v>46213</v>
      </c>
      <c r="K81" s="12" t="s">
        <v>8</v>
      </c>
      <c r="L81" s="9">
        <f t="shared" si="44"/>
        <v>535000</v>
      </c>
      <c r="M81" s="32" t="s">
        <v>132</v>
      </c>
      <c r="N81" s="87"/>
      <c r="O81" s="36">
        <f t="shared" si="45"/>
        <v>500000</v>
      </c>
      <c r="P81" s="32">
        <v>0</v>
      </c>
      <c r="Q81" s="32"/>
      <c r="R81" s="32"/>
      <c r="S81" s="32"/>
      <c r="T81" s="32"/>
      <c r="U81" s="32" t="s">
        <v>143</v>
      </c>
      <c r="V81" s="1" t="s">
        <v>132</v>
      </c>
    </row>
    <row r="82" spans="1:22" ht="15.75" hidden="1" thickBot="1" x14ac:dyDescent="0.3">
      <c r="A82" s="31" t="s">
        <v>149</v>
      </c>
      <c r="B82" s="32">
        <v>12</v>
      </c>
      <c r="C82" s="32" t="s">
        <v>207</v>
      </c>
      <c r="D82" s="32" t="s">
        <v>208</v>
      </c>
      <c r="E82" s="32"/>
      <c r="F82" s="33">
        <f t="shared" si="46"/>
        <v>2000000</v>
      </c>
      <c r="G82" s="34">
        <v>7</v>
      </c>
      <c r="H82" s="35">
        <v>1.4E-2</v>
      </c>
      <c r="I82" s="9">
        <f t="shared" si="43"/>
        <v>28000</v>
      </c>
      <c r="J82" s="17">
        <v>46244</v>
      </c>
      <c r="K82" s="12" t="s">
        <v>9</v>
      </c>
      <c r="L82" s="9">
        <f t="shared" si="44"/>
        <v>528000</v>
      </c>
      <c r="M82" s="32" t="s">
        <v>132</v>
      </c>
      <c r="N82" s="87"/>
      <c r="O82" s="36">
        <f t="shared" si="45"/>
        <v>500000</v>
      </c>
      <c r="P82" s="32">
        <v>0</v>
      </c>
      <c r="Q82" s="32"/>
      <c r="R82" s="32"/>
      <c r="S82" s="32"/>
      <c r="T82" s="32"/>
      <c r="U82" s="32" t="s">
        <v>143</v>
      </c>
      <c r="V82" s="1" t="s">
        <v>132</v>
      </c>
    </row>
    <row r="83" spans="1:22" ht="15.75" hidden="1" thickBot="1" x14ac:dyDescent="0.3">
      <c r="A83" s="31" t="s">
        <v>150</v>
      </c>
      <c r="B83" s="32">
        <v>12</v>
      </c>
      <c r="C83" s="32" t="s">
        <v>207</v>
      </c>
      <c r="D83" s="32" t="s">
        <v>208</v>
      </c>
      <c r="E83" s="32"/>
      <c r="F83" s="33">
        <f t="shared" si="46"/>
        <v>1500000</v>
      </c>
      <c r="G83" s="34">
        <v>8</v>
      </c>
      <c r="H83" s="35">
        <v>1.4E-2</v>
      </c>
      <c r="I83" s="9">
        <f t="shared" si="43"/>
        <v>21000</v>
      </c>
      <c r="J83" s="17">
        <v>46275</v>
      </c>
      <c r="K83" s="12" t="s">
        <v>10</v>
      </c>
      <c r="L83" s="9">
        <f t="shared" si="44"/>
        <v>521000</v>
      </c>
      <c r="M83" s="32" t="s">
        <v>132</v>
      </c>
      <c r="N83" s="87"/>
      <c r="O83" s="36">
        <f t="shared" si="45"/>
        <v>500000</v>
      </c>
      <c r="P83" s="32">
        <v>0</v>
      </c>
      <c r="Q83" s="32"/>
      <c r="R83" s="32"/>
      <c r="S83" s="32"/>
      <c r="T83" s="32"/>
      <c r="U83" s="32" t="s">
        <v>143</v>
      </c>
      <c r="V83" s="1" t="s">
        <v>132</v>
      </c>
    </row>
    <row r="84" spans="1:22" ht="15.75" hidden="1" thickBot="1" x14ac:dyDescent="0.3">
      <c r="A84" s="31" t="s">
        <v>151</v>
      </c>
      <c r="B84" s="32">
        <v>12</v>
      </c>
      <c r="C84" s="32" t="s">
        <v>207</v>
      </c>
      <c r="D84" s="32" t="s">
        <v>208</v>
      </c>
      <c r="E84" s="32"/>
      <c r="F84" s="33">
        <f t="shared" si="46"/>
        <v>1000000</v>
      </c>
      <c r="G84" s="34">
        <v>9</v>
      </c>
      <c r="H84" s="35">
        <v>1.4E-2</v>
      </c>
      <c r="I84" s="9">
        <f t="shared" si="43"/>
        <v>14000</v>
      </c>
      <c r="J84" s="17">
        <v>46305</v>
      </c>
      <c r="K84" s="12" t="s">
        <v>13</v>
      </c>
      <c r="L84" s="9">
        <f t="shared" si="44"/>
        <v>514000</v>
      </c>
      <c r="M84" s="32" t="s">
        <v>132</v>
      </c>
      <c r="N84" s="87"/>
      <c r="O84" s="36">
        <f t="shared" si="45"/>
        <v>500000</v>
      </c>
      <c r="P84" s="32">
        <v>0</v>
      </c>
      <c r="Q84" s="32"/>
      <c r="R84" s="32"/>
      <c r="S84" s="32"/>
      <c r="T84" s="32"/>
      <c r="U84" s="32" t="s">
        <v>143</v>
      </c>
      <c r="V84" s="1" t="s">
        <v>132</v>
      </c>
    </row>
    <row r="85" spans="1:22" ht="15.75" hidden="1" thickBot="1" x14ac:dyDescent="0.3">
      <c r="A85" s="31" t="s">
        <v>152</v>
      </c>
      <c r="B85" s="32">
        <v>12</v>
      </c>
      <c r="C85" s="32" t="s">
        <v>207</v>
      </c>
      <c r="D85" s="32" t="s">
        <v>208</v>
      </c>
      <c r="E85" s="32"/>
      <c r="F85" s="33">
        <f t="shared" si="46"/>
        <v>500000</v>
      </c>
      <c r="G85" s="34">
        <v>10</v>
      </c>
      <c r="H85" s="35">
        <v>1.4E-2</v>
      </c>
      <c r="I85" s="9">
        <f t="shared" si="43"/>
        <v>7000</v>
      </c>
      <c r="J85" s="17">
        <v>46336</v>
      </c>
      <c r="K85" s="12" t="s">
        <v>15</v>
      </c>
      <c r="L85" s="9">
        <f t="shared" si="44"/>
        <v>507000</v>
      </c>
      <c r="M85" s="32" t="s">
        <v>132</v>
      </c>
      <c r="N85" s="87"/>
      <c r="O85" s="36">
        <f t="shared" si="45"/>
        <v>500000</v>
      </c>
      <c r="P85" s="32">
        <v>0</v>
      </c>
      <c r="Q85" s="32"/>
      <c r="R85" s="32"/>
      <c r="S85" s="32"/>
      <c r="T85" s="32" t="s">
        <v>56</v>
      </c>
      <c r="U85" s="32" t="s">
        <v>143</v>
      </c>
      <c r="V85" s="1" t="s">
        <v>132</v>
      </c>
    </row>
    <row r="86" spans="1:22" ht="15.75" hidden="1" thickBot="1" x14ac:dyDescent="0.3">
      <c r="A86" s="55" t="s">
        <v>153</v>
      </c>
      <c r="B86" s="56">
        <v>14</v>
      </c>
      <c r="C86" s="56" t="s">
        <v>214</v>
      </c>
      <c r="D86" s="56" t="s">
        <v>201</v>
      </c>
      <c r="E86" s="56" t="s">
        <v>2</v>
      </c>
      <c r="F86" s="23">
        <v>2500000</v>
      </c>
      <c r="G86" s="58">
        <v>1</v>
      </c>
      <c r="H86" s="59">
        <v>1.4E-2</v>
      </c>
      <c r="I86" s="8">
        <f>F86*H86</f>
        <v>35000</v>
      </c>
      <c r="J86" s="18">
        <v>46063</v>
      </c>
      <c r="K86" s="78" t="s">
        <v>3</v>
      </c>
      <c r="L86" s="76">
        <f t="shared" ref="L86:L91" si="47">($F$86/6)+I86</f>
        <v>451666.66666666669</v>
      </c>
      <c r="M86" s="56" t="s">
        <v>194</v>
      </c>
      <c r="N86" s="90">
        <v>451666.66666666669</v>
      </c>
      <c r="O86" s="60">
        <f t="shared" ref="O86:O91" si="48">$F$86/6</f>
        <v>416666.66666666669</v>
      </c>
      <c r="P86" s="32">
        <v>1</v>
      </c>
      <c r="Q86" s="56"/>
      <c r="R86" s="56"/>
      <c r="S86" s="56"/>
      <c r="T86" s="56" t="s">
        <v>57</v>
      </c>
      <c r="U86" s="56" t="s">
        <v>154</v>
      </c>
      <c r="V86" s="1" t="s">
        <v>132</v>
      </c>
    </row>
    <row r="87" spans="1:22" ht="15.75" hidden="1" thickBot="1" x14ac:dyDescent="0.3">
      <c r="A87" s="55" t="s">
        <v>155</v>
      </c>
      <c r="B87" s="56">
        <v>14</v>
      </c>
      <c r="C87" s="56" t="s">
        <v>214</v>
      </c>
      <c r="D87" s="56" t="s">
        <v>201</v>
      </c>
      <c r="E87" s="56"/>
      <c r="F87" s="83">
        <f>F86-O87</f>
        <v>2083333.3333333333</v>
      </c>
      <c r="G87" s="58">
        <v>2</v>
      </c>
      <c r="H87" s="59">
        <v>1.4E-2</v>
      </c>
      <c r="I87" s="8">
        <f t="shared" ref="I87:I91" si="49">F87*H87</f>
        <v>29166.666666666668</v>
      </c>
      <c r="J87" s="18">
        <v>46091</v>
      </c>
      <c r="K87" s="78" t="s">
        <v>4</v>
      </c>
      <c r="L87" s="76">
        <f t="shared" si="47"/>
        <v>445833.33333333337</v>
      </c>
      <c r="M87" s="56" t="s">
        <v>132</v>
      </c>
      <c r="N87" s="90"/>
      <c r="O87" s="60">
        <f t="shared" si="48"/>
        <v>416666.66666666669</v>
      </c>
      <c r="P87" s="32">
        <v>0</v>
      </c>
      <c r="Q87" s="56"/>
      <c r="R87" s="56"/>
      <c r="S87" s="56"/>
      <c r="T87" s="56"/>
      <c r="U87" s="56" t="s">
        <v>154</v>
      </c>
      <c r="V87" s="1" t="s">
        <v>132</v>
      </c>
    </row>
    <row r="88" spans="1:22" ht="15.75" hidden="1" thickBot="1" x14ac:dyDescent="0.3">
      <c r="A88" s="55" t="s">
        <v>156</v>
      </c>
      <c r="B88" s="56">
        <v>14</v>
      </c>
      <c r="C88" s="56" t="s">
        <v>214</v>
      </c>
      <c r="D88" s="56" t="s">
        <v>201</v>
      </c>
      <c r="E88" s="56"/>
      <c r="F88" s="83">
        <f>F87-O88</f>
        <v>1666666.6666666665</v>
      </c>
      <c r="G88" s="58">
        <v>3</v>
      </c>
      <c r="H88" s="59">
        <v>1.4E-2</v>
      </c>
      <c r="I88" s="8">
        <f t="shared" si="49"/>
        <v>23333.333333333332</v>
      </c>
      <c r="J88" s="18">
        <v>46122</v>
      </c>
      <c r="K88" s="78" t="s">
        <v>5</v>
      </c>
      <c r="L88" s="76">
        <f t="shared" si="47"/>
        <v>440000</v>
      </c>
      <c r="M88" s="56" t="s">
        <v>132</v>
      </c>
      <c r="N88" s="90"/>
      <c r="O88" s="60">
        <f t="shared" si="48"/>
        <v>416666.66666666669</v>
      </c>
      <c r="P88" s="32">
        <v>0</v>
      </c>
      <c r="Q88" s="56"/>
      <c r="R88" s="56"/>
      <c r="S88" s="56"/>
      <c r="T88" s="56"/>
      <c r="U88" s="56" t="s">
        <v>154</v>
      </c>
      <c r="V88" s="1" t="s">
        <v>132</v>
      </c>
    </row>
    <row r="89" spans="1:22" ht="15.75" hidden="1" thickBot="1" x14ac:dyDescent="0.3">
      <c r="A89" s="55" t="s">
        <v>157</v>
      </c>
      <c r="B89" s="56">
        <v>14</v>
      </c>
      <c r="C89" s="56" t="s">
        <v>214</v>
      </c>
      <c r="D89" s="56" t="s">
        <v>201</v>
      </c>
      <c r="E89" s="56"/>
      <c r="F89" s="83">
        <f>F88-O89</f>
        <v>1249999.9999999998</v>
      </c>
      <c r="G89" s="58">
        <v>4</v>
      </c>
      <c r="H89" s="59">
        <v>1.4E-2</v>
      </c>
      <c r="I89" s="8">
        <f t="shared" si="49"/>
        <v>17499.999999999996</v>
      </c>
      <c r="J89" s="18">
        <v>46152</v>
      </c>
      <c r="K89" s="78" t="s">
        <v>6</v>
      </c>
      <c r="L89" s="76">
        <f t="shared" si="47"/>
        <v>434166.66666666669</v>
      </c>
      <c r="M89" s="56" t="s">
        <v>132</v>
      </c>
      <c r="N89" s="90"/>
      <c r="O89" s="60">
        <f t="shared" si="48"/>
        <v>416666.66666666669</v>
      </c>
      <c r="P89" s="32">
        <v>0</v>
      </c>
      <c r="Q89" s="56"/>
      <c r="R89" s="56"/>
      <c r="S89" s="56"/>
      <c r="T89" s="56"/>
      <c r="U89" s="56" t="s">
        <v>154</v>
      </c>
      <c r="V89" s="1" t="s">
        <v>132</v>
      </c>
    </row>
    <row r="90" spans="1:22" ht="15.75" hidden="1" thickBot="1" x14ac:dyDescent="0.3">
      <c r="A90" s="55" t="s">
        <v>158</v>
      </c>
      <c r="B90" s="56">
        <v>14</v>
      </c>
      <c r="C90" s="56" t="s">
        <v>214</v>
      </c>
      <c r="D90" s="56" t="s">
        <v>201</v>
      </c>
      <c r="E90" s="56"/>
      <c r="F90" s="83">
        <f>F89-O90</f>
        <v>833333.33333333302</v>
      </c>
      <c r="G90" s="58">
        <v>5</v>
      </c>
      <c r="H90" s="59">
        <v>1.4E-2</v>
      </c>
      <c r="I90" s="8">
        <f t="shared" si="49"/>
        <v>11666.666666666662</v>
      </c>
      <c r="J90" s="18">
        <v>46183</v>
      </c>
      <c r="K90" s="78" t="s">
        <v>7</v>
      </c>
      <c r="L90" s="76">
        <f t="shared" si="47"/>
        <v>428333.33333333337</v>
      </c>
      <c r="M90" s="56" t="s">
        <v>132</v>
      </c>
      <c r="N90" s="90"/>
      <c r="O90" s="60">
        <f t="shared" si="48"/>
        <v>416666.66666666669</v>
      </c>
      <c r="P90" s="32">
        <v>0</v>
      </c>
      <c r="Q90" s="56"/>
      <c r="R90" s="56"/>
      <c r="S90" s="56"/>
      <c r="T90" s="56"/>
      <c r="U90" s="56" t="s">
        <v>154</v>
      </c>
      <c r="V90" s="1" t="s">
        <v>132</v>
      </c>
    </row>
    <row r="91" spans="1:22" ht="15.75" hidden="1" thickBot="1" x14ac:dyDescent="0.3">
      <c r="A91" s="55" t="s">
        <v>159</v>
      </c>
      <c r="B91" s="56">
        <v>14</v>
      </c>
      <c r="C91" s="56" t="s">
        <v>214</v>
      </c>
      <c r="D91" s="56" t="s">
        <v>201</v>
      </c>
      <c r="E91" s="56"/>
      <c r="F91" s="83">
        <f>F90-O91</f>
        <v>416666.66666666634</v>
      </c>
      <c r="G91" s="58">
        <v>6</v>
      </c>
      <c r="H91" s="59">
        <v>1.4E-2</v>
      </c>
      <c r="I91" s="8">
        <f t="shared" si="49"/>
        <v>5833.3333333333285</v>
      </c>
      <c r="J91" s="18">
        <v>46213</v>
      </c>
      <c r="K91" s="78" t="s">
        <v>8</v>
      </c>
      <c r="L91" s="76">
        <f t="shared" si="47"/>
        <v>422500</v>
      </c>
      <c r="M91" s="56" t="s">
        <v>132</v>
      </c>
      <c r="N91" s="90"/>
      <c r="O91" s="60">
        <f t="shared" si="48"/>
        <v>416666.66666666669</v>
      </c>
      <c r="P91" s="32">
        <v>0</v>
      </c>
      <c r="Q91" s="56"/>
      <c r="R91" s="56"/>
      <c r="S91" s="56"/>
      <c r="T91" s="56" t="s">
        <v>56</v>
      </c>
      <c r="U91" s="56" t="s">
        <v>154</v>
      </c>
      <c r="V91" s="1" t="s">
        <v>132</v>
      </c>
    </row>
    <row r="92" spans="1:22" ht="15.75" hidden="1" thickBot="1" x14ac:dyDescent="0.3">
      <c r="A92" s="32" t="s">
        <v>160</v>
      </c>
      <c r="B92" s="32">
        <v>1</v>
      </c>
      <c r="C92" s="32" t="s">
        <v>211</v>
      </c>
      <c r="D92" s="32" t="s">
        <v>210</v>
      </c>
      <c r="E92" s="32" t="s">
        <v>3</v>
      </c>
      <c r="F92" s="23">
        <v>4000000</v>
      </c>
      <c r="G92" s="34">
        <v>1</v>
      </c>
      <c r="H92" s="35">
        <v>1.4E-2</v>
      </c>
      <c r="I92" s="9">
        <f>F92*H92</f>
        <v>56000</v>
      </c>
      <c r="J92" s="17">
        <v>46091</v>
      </c>
      <c r="K92" s="12" t="s">
        <v>4</v>
      </c>
      <c r="L92" s="9">
        <f>($F$92/10)+I92</f>
        <v>456000</v>
      </c>
      <c r="M92" s="32" t="s">
        <v>132</v>
      </c>
      <c r="N92" s="94"/>
      <c r="O92" s="36">
        <f>$F$92/10</f>
        <v>400000</v>
      </c>
      <c r="P92" s="32">
        <v>0</v>
      </c>
      <c r="Q92" s="32"/>
      <c r="R92" s="32"/>
      <c r="S92" s="32"/>
      <c r="T92" s="32" t="s">
        <v>57</v>
      </c>
      <c r="U92" s="32" t="s">
        <v>170</v>
      </c>
      <c r="V92" s="1" t="s">
        <v>132</v>
      </c>
    </row>
    <row r="93" spans="1:22" ht="15.75" hidden="1" thickBot="1" x14ac:dyDescent="0.3">
      <c r="A93" s="32" t="s">
        <v>161</v>
      </c>
      <c r="B93" s="32">
        <v>1</v>
      </c>
      <c r="C93" s="32" t="s">
        <v>211</v>
      </c>
      <c r="D93" s="32" t="s">
        <v>210</v>
      </c>
      <c r="E93" s="32"/>
      <c r="F93" s="93">
        <f t="shared" ref="F93:F106" si="50">F92-O93</f>
        <v>3600000</v>
      </c>
      <c r="G93" s="34">
        <v>2</v>
      </c>
      <c r="H93" s="35">
        <v>1.4E-2</v>
      </c>
      <c r="I93" s="9">
        <f t="shared" ref="I93:I106" si="51">F93*H93</f>
        <v>50400</v>
      </c>
      <c r="J93" s="17">
        <v>46122</v>
      </c>
      <c r="K93" s="12" t="s">
        <v>5</v>
      </c>
      <c r="L93" s="9">
        <f t="shared" ref="L93:L101" si="52">($F$92/10)+I93</f>
        <v>450400</v>
      </c>
      <c r="M93" s="32" t="s">
        <v>132</v>
      </c>
      <c r="N93" s="94"/>
      <c r="O93" s="36">
        <f t="shared" ref="O93:O101" si="53">$F$92/10</f>
        <v>400000</v>
      </c>
      <c r="P93" s="32">
        <v>0</v>
      </c>
      <c r="Q93" s="32"/>
      <c r="R93" s="32"/>
      <c r="S93" s="32"/>
      <c r="T93" s="32"/>
      <c r="U93" s="32" t="s">
        <v>170</v>
      </c>
      <c r="V93" s="1" t="s">
        <v>132</v>
      </c>
    </row>
    <row r="94" spans="1:22" ht="15.75" hidden="1" thickBot="1" x14ac:dyDescent="0.3">
      <c r="A94" s="32" t="s">
        <v>162</v>
      </c>
      <c r="B94" s="32">
        <v>1</v>
      </c>
      <c r="C94" s="32" t="s">
        <v>211</v>
      </c>
      <c r="D94" s="32" t="s">
        <v>210</v>
      </c>
      <c r="E94" s="32"/>
      <c r="F94" s="93">
        <f t="shared" si="50"/>
        <v>3200000</v>
      </c>
      <c r="G94" s="34">
        <v>3</v>
      </c>
      <c r="H94" s="35">
        <v>1.4E-2</v>
      </c>
      <c r="I94" s="9">
        <f t="shared" si="51"/>
        <v>44800</v>
      </c>
      <c r="J94" s="17">
        <v>46152</v>
      </c>
      <c r="K94" s="12" t="s">
        <v>6</v>
      </c>
      <c r="L94" s="9">
        <f t="shared" si="52"/>
        <v>444800</v>
      </c>
      <c r="M94" s="32" t="s">
        <v>132</v>
      </c>
      <c r="N94" s="94"/>
      <c r="O94" s="36">
        <f t="shared" si="53"/>
        <v>400000</v>
      </c>
      <c r="P94" s="32">
        <v>0</v>
      </c>
      <c r="Q94" s="32"/>
      <c r="R94" s="32"/>
      <c r="S94" s="32"/>
      <c r="T94" s="32"/>
      <c r="U94" s="32" t="s">
        <v>170</v>
      </c>
      <c r="V94" s="1" t="s">
        <v>132</v>
      </c>
    </row>
    <row r="95" spans="1:22" ht="15.75" hidden="1" thickBot="1" x14ac:dyDescent="0.3">
      <c r="A95" s="32" t="s">
        <v>163</v>
      </c>
      <c r="B95" s="32">
        <v>1</v>
      </c>
      <c r="C95" s="32" t="s">
        <v>211</v>
      </c>
      <c r="D95" s="32" t="s">
        <v>210</v>
      </c>
      <c r="E95" s="32"/>
      <c r="F95" s="93">
        <f t="shared" si="50"/>
        <v>2800000</v>
      </c>
      <c r="G95" s="34">
        <v>4</v>
      </c>
      <c r="H95" s="35">
        <v>1.4E-2</v>
      </c>
      <c r="I95" s="9">
        <f t="shared" si="51"/>
        <v>39200</v>
      </c>
      <c r="J95" s="17">
        <v>46183</v>
      </c>
      <c r="K95" s="12" t="s">
        <v>7</v>
      </c>
      <c r="L95" s="9">
        <f t="shared" si="52"/>
        <v>439200</v>
      </c>
      <c r="M95" s="32" t="s">
        <v>132</v>
      </c>
      <c r="N95" s="94"/>
      <c r="O95" s="36">
        <f t="shared" si="53"/>
        <v>400000</v>
      </c>
      <c r="P95" s="32">
        <v>0</v>
      </c>
      <c r="Q95" s="32"/>
      <c r="R95" s="32"/>
      <c r="S95" s="32"/>
      <c r="T95" s="32"/>
      <c r="U95" s="32" t="s">
        <v>170</v>
      </c>
      <c r="V95" s="1" t="s">
        <v>132</v>
      </c>
    </row>
    <row r="96" spans="1:22" ht="15.75" hidden="1" thickBot="1" x14ac:dyDescent="0.3">
      <c r="A96" s="32" t="s">
        <v>164</v>
      </c>
      <c r="B96" s="32">
        <v>1</v>
      </c>
      <c r="C96" s="32" t="s">
        <v>211</v>
      </c>
      <c r="D96" s="32" t="s">
        <v>210</v>
      </c>
      <c r="E96" s="32"/>
      <c r="F96" s="93">
        <f t="shared" si="50"/>
        <v>2400000</v>
      </c>
      <c r="G96" s="34">
        <v>5</v>
      </c>
      <c r="H96" s="35">
        <v>1.4E-2</v>
      </c>
      <c r="I96" s="9">
        <f t="shared" si="51"/>
        <v>33600</v>
      </c>
      <c r="J96" s="17">
        <v>46213</v>
      </c>
      <c r="K96" s="12" t="s">
        <v>8</v>
      </c>
      <c r="L96" s="9">
        <f t="shared" si="52"/>
        <v>433600</v>
      </c>
      <c r="M96" s="32" t="s">
        <v>132</v>
      </c>
      <c r="N96" s="94"/>
      <c r="O96" s="36">
        <f t="shared" si="53"/>
        <v>400000</v>
      </c>
      <c r="P96" s="32">
        <v>0</v>
      </c>
      <c r="Q96" s="32"/>
      <c r="R96" s="32"/>
      <c r="S96" s="32"/>
      <c r="T96" s="32"/>
      <c r="U96" s="32" t="s">
        <v>170</v>
      </c>
      <c r="V96" s="1" t="s">
        <v>132</v>
      </c>
    </row>
    <row r="97" spans="1:22" ht="15.75" hidden="1" thickBot="1" x14ac:dyDescent="0.3">
      <c r="A97" s="32" t="s">
        <v>165</v>
      </c>
      <c r="B97" s="32">
        <v>1</v>
      </c>
      <c r="C97" s="32" t="s">
        <v>211</v>
      </c>
      <c r="D97" s="32" t="s">
        <v>210</v>
      </c>
      <c r="E97" s="32"/>
      <c r="F97" s="93">
        <f t="shared" si="50"/>
        <v>2000000</v>
      </c>
      <c r="G97" s="34">
        <v>6</v>
      </c>
      <c r="H97" s="35">
        <v>1.4E-2</v>
      </c>
      <c r="I97" s="9">
        <f t="shared" si="51"/>
        <v>28000</v>
      </c>
      <c r="J97" s="17">
        <v>46244</v>
      </c>
      <c r="K97" s="12" t="s">
        <v>9</v>
      </c>
      <c r="L97" s="9">
        <f t="shared" si="52"/>
        <v>428000</v>
      </c>
      <c r="M97" s="32" t="s">
        <v>132</v>
      </c>
      <c r="N97" s="94"/>
      <c r="O97" s="36">
        <f t="shared" si="53"/>
        <v>400000</v>
      </c>
      <c r="P97" s="32">
        <v>0</v>
      </c>
      <c r="Q97" s="32"/>
      <c r="R97" s="32"/>
      <c r="S97" s="32"/>
      <c r="T97" s="32"/>
      <c r="U97" s="32" t="s">
        <v>170</v>
      </c>
      <c r="V97" s="1" t="s">
        <v>132</v>
      </c>
    </row>
    <row r="98" spans="1:22" ht="15.75" hidden="1" thickBot="1" x14ac:dyDescent="0.3">
      <c r="A98" s="32" t="s">
        <v>166</v>
      </c>
      <c r="B98" s="32">
        <v>1</v>
      </c>
      <c r="C98" s="32" t="s">
        <v>211</v>
      </c>
      <c r="D98" s="32" t="s">
        <v>210</v>
      </c>
      <c r="E98" s="32"/>
      <c r="F98" s="93">
        <f t="shared" si="50"/>
        <v>1600000</v>
      </c>
      <c r="G98" s="34">
        <v>7</v>
      </c>
      <c r="H98" s="35">
        <v>1.4E-2</v>
      </c>
      <c r="I98" s="9">
        <f t="shared" si="51"/>
        <v>22400</v>
      </c>
      <c r="J98" s="17">
        <v>46275</v>
      </c>
      <c r="K98" s="12" t="s">
        <v>10</v>
      </c>
      <c r="L98" s="9">
        <f t="shared" si="52"/>
        <v>422400</v>
      </c>
      <c r="M98" s="32" t="s">
        <v>132</v>
      </c>
      <c r="N98" s="94"/>
      <c r="O98" s="36">
        <f t="shared" si="53"/>
        <v>400000</v>
      </c>
      <c r="P98" s="32">
        <v>0</v>
      </c>
      <c r="Q98" s="32"/>
      <c r="R98" s="32"/>
      <c r="S98" s="32"/>
      <c r="T98" s="32"/>
      <c r="U98" s="32" t="s">
        <v>170</v>
      </c>
      <c r="V98" s="1" t="s">
        <v>132</v>
      </c>
    </row>
    <row r="99" spans="1:22" ht="15.75" hidden="1" thickBot="1" x14ac:dyDescent="0.3">
      <c r="A99" s="32" t="s">
        <v>167</v>
      </c>
      <c r="B99" s="32">
        <v>1</v>
      </c>
      <c r="C99" s="32" t="s">
        <v>211</v>
      </c>
      <c r="D99" s="32" t="s">
        <v>210</v>
      </c>
      <c r="E99" s="32"/>
      <c r="F99" s="93">
        <f t="shared" si="50"/>
        <v>1200000</v>
      </c>
      <c r="G99" s="34">
        <v>8</v>
      </c>
      <c r="H99" s="35">
        <v>1.4E-2</v>
      </c>
      <c r="I99" s="9">
        <f t="shared" si="51"/>
        <v>16800</v>
      </c>
      <c r="J99" s="17">
        <v>46305</v>
      </c>
      <c r="K99" s="12" t="s">
        <v>13</v>
      </c>
      <c r="L99" s="9">
        <f t="shared" si="52"/>
        <v>416800</v>
      </c>
      <c r="M99" s="32" t="s">
        <v>132</v>
      </c>
      <c r="N99" s="94"/>
      <c r="O99" s="36">
        <f t="shared" si="53"/>
        <v>400000</v>
      </c>
      <c r="P99" s="32">
        <v>0</v>
      </c>
      <c r="Q99" s="32"/>
      <c r="R99" s="32"/>
      <c r="S99" s="32"/>
      <c r="T99" s="32"/>
      <c r="U99" s="32" t="s">
        <v>170</v>
      </c>
      <c r="V99" s="1" t="s">
        <v>132</v>
      </c>
    </row>
    <row r="100" spans="1:22" ht="15.75" hidden="1" thickBot="1" x14ac:dyDescent="0.3">
      <c r="A100" s="32" t="s">
        <v>168</v>
      </c>
      <c r="B100" s="32">
        <v>1</v>
      </c>
      <c r="C100" s="32" t="s">
        <v>211</v>
      </c>
      <c r="D100" s="32" t="s">
        <v>210</v>
      </c>
      <c r="E100" s="32"/>
      <c r="F100" s="93">
        <f t="shared" si="50"/>
        <v>800000</v>
      </c>
      <c r="G100" s="34">
        <v>9</v>
      </c>
      <c r="H100" s="35">
        <v>1.4E-2</v>
      </c>
      <c r="I100" s="9">
        <f t="shared" si="51"/>
        <v>11200</v>
      </c>
      <c r="J100" s="17">
        <v>46336</v>
      </c>
      <c r="K100" s="12" t="s">
        <v>15</v>
      </c>
      <c r="L100" s="9">
        <f t="shared" si="52"/>
        <v>411200</v>
      </c>
      <c r="M100" s="32" t="s">
        <v>132</v>
      </c>
      <c r="N100" s="94"/>
      <c r="O100" s="36">
        <f t="shared" si="53"/>
        <v>400000</v>
      </c>
      <c r="P100" s="32">
        <v>0</v>
      </c>
      <c r="Q100" s="32"/>
      <c r="R100" s="32"/>
      <c r="S100" s="32"/>
      <c r="T100" s="32"/>
      <c r="U100" s="32" t="s">
        <v>170</v>
      </c>
      <c r="V100" s="1" t="s">
        <v>132</v>
      </c>
    </row>
    <row r="101" spans="1:22" ht="15.75" hidden="1" thickBot="1" x14ac:dyDescent="0.3">
      <c r="A101" s="32" t="s">
        <v>169</v>
      </c>
      <c r="B101" s="32">
        <v>1</v>
      </c>
      <c r="C101" s="32" t="s">
        <v>211</v>
      </c>
      <c r="D101" s="32" t="s">
        <v>210</v>
      </c>
      <c r="E101" s="32"/>
      <c r="F101" s="93">
        <f t="shared" si="50"/>
        <v>400000</v>
      </c>
      <c r="G101" s="34">
        <v>10</v>
      </c>
      <c r="H101" s="35">
        <v>1.4E-2</v>
      </c>
      <c r="I101" s="9">
        <f t="shared" si="51"/>
        <v>5600</v>
      </c>
      <c r="J101" s="17">
        <v>46366</v>
      </c>
      <c r="K101" s="12" t="s">
        <v>14</v>
      </c>
      <c r="L101" s="9">
        <f t="shared" si="52"/>
        <v>405600</v>
      </c>
      <c r="M101" s="32" t="s">
        <v>132</v>
      </c>
      <c r="N101" s="94"/>
      <c r="O101" s="36">
        <f t="shared" si="53"/>
        <v>400000</v>
      </c>
      <c r="P101" s="32">
        <v>0</v>
      </c>
      <c r="Q101" s="32"/>
      <c r="R101" s="32"/>
      <c r="S101" s="32"/>
      <c r="T101" s="32" t="s">
        <v>56</v>
      </c>
      <c r="U101" s="32" t="s">
        <v>170</v>
      </c>
      <c r="V101" s="1" t="s">
        <v>132</v>
      </c>
    </row>
    <row r="102" spans="1:22" ht="15.75" hidden="1" thickBot="1" x14ac:dyDescent="0.3">
      <c r="A102" s="32" t="s">
        <v>171</v>
      </c>
      <c r="B102" s="56">
        <v>10</v>
      </c>
      <c r="C102" s="56" t="s">
        <v>209</v>
      </c>
      <c r="D102" s="56" t="s">
        <v>210</v>
      </c>
      <c r="E102" s="56" t="s">
        <v>3</v>
      </c>
      <c r="F102" s="23">
        <v>500000</v>
      </c>
      <c r="G102" s="58">
        <v>1</v>
      </c>
      <c r="H102" s="59">
        <v>1.6E-2</v>
      </c>
      <c r="I102" s="9">
        <f t="shared" si="51"/>
        <v>8000</v>
      </c>
      <c r="J102" s="17">
        <v>46091</v>
      </c>
      <c r="K102" s="12" t="s">
        <v>4</v>
      </c>
      <c r="L102" s="9">
        <f>($F$102/5)+I102</f>
        <v>108000</v>
      </c>
      <c r="M102" s="56" t="s">
        <v>132</v>
      </c>
      <c r="N102" s="76"/>
      <c r="O102" s="36">
        <f>$F$102/5</f>
        <v>100000</v>
      </c>
      <c r="P102" s="32">
        <v>0</v>
      </c>
      <c r="Q102" s="56" t="s">
        <v>114</v>
      </c>
      <c r="R102" s="56"/>
      <c r="S102" s="56"/>
      <c r="T102" s="56" t="s">
        <v>57</v>
      </c>
      <c r="U102" s="56" t="s">
        <v>176</v>
      </c>
      <c r="V102" s="1" t="s">
        <v>132</v>
      </c>
    </row>
    <row r="103" spans="1:22" ht="15.75" hidden="1" thickBot="1" x14ac:dyDescent="0.3">
      <c r="A103" s="32" t="s">
        <v>172</v>
      </c>
      <c r="B103" s="56">
        <v>10</v>
      </c>
      <c r="C103" s="56" t="s">
        <v>209</v>
      </c>
      <c r="D103" s="56" t="s">
        <v>210</v>
      </c>
      <c r="E103" s="56"/>
      <c r="F103" s="93">
        <f>F102-O103</f>
        <v>400000</v>
      </c>
      <c r="G103" s="58">
        <v>2</v>
      </c>
      <c r="H103" s="59">
        <v>1.6E-2</v>
      </c>
      <c r="I103" s="9">
        <f t="shared" si="51"/>
        <v>6400</v>
      </c>
      <c r="J103" s="17">
        <v>46122</v>
      </c>
      <c r="K103" s="12" t="s">
        <v>5</v>
      </c>
      <c r="L103" s="9">
        <f>($F$102/5)+I103</f>
        <v>106400</v>
      </c>
      <c r="M103" s="56" t="s">
        <v>132</v>
      </c>
      <c r="N103" s="76"/>
      <c r="O103" s="36">
        <f t="shared" ref="O103:O106" si="54">$F$102/5</f>
        <v>100000</v>
      </c>
      <c r="P103" s="32">
        <v>0</v>
      </c>
      <c r="Q103" s="56"/>
      <c r="R103" s="56"/>
      <c r="S103" s="56"/>
      <c r="T103" s="56"/>
      <c r="U103" s="56" t="s">
        <v>176</v>
      </c>
      <c r="V103" s="1" t="s">
        <v>132</v>
      </c>
    </row>
    <row r="104" spans="1:22" ht="15.75" hidden="1" thickBot="1" x14ac:dyDescent="0.3">
      <c r="A104" s="32" t="s">
        <v>173</v>
      </c>
      <c r="B104" s="56">
        <v>10</v>
      </c>
      <c r="C104" s="56" t="s">
        <v>209</v>
      </c>
      <c r="D104" s="56" t="s">
        <v>210</v>
      </c>
      <c r="E104" s="56"/>
      <c r="F104" s="93">
        <f t="shared" si="50"/>
        <v>300000</v>
      </c>
      <c r="G104" s="58">
        <v>3</v>
      </c>
      <c r="H104" s="59">
        <v>1.6E-2</v>
      </c>
      <c r="I104" s="9">
        <f t="shared" si="51"/>
        <v>4800</v>
      </c>
      <c r="J104" s="17">
        <v>46152</v>
      </c>
      <c r="K104" s="12" t="s">
        <v>6</v>
      </c>
      <c r="L104" s="9">
        <f>($F$102/5)+I104</f>
        <v>104800</v>
      </c>
      <c r="M104" s="56" t="s">
        <v>132</v>
      </c>
      <c r="N104" s="76"/>
      <c r="O104" s="36">
        <f t="shared" si="54"/>
        <v>100000</v>
      </c>
      <c r="P104" s="32">
        <v>0</v>
      </c>
      <c r="Q104" s="56"/>
      <c r="R104" s="56"/>
      <c r="S104" s="56"/>
      <c r="T104" s="56"/>
      <c r="U104" s="56" t="s">
        <v>176</v>
      </c>
      <c r="V104" s="1" t="s">
        <v>132</v>
      </c>
    </row>
    <row r="105" spans="1:22" ht="15.75" hidden="1" thickBot="1" x14ac:dyDescent="0.3">
      <c r="A105" s="32" t="s">
        <v>174</v>
      </c>
      <c r="B105" s="56">
        <v>10</v>
      </c>
      <c r="C105" s="56" t="s">
        <v>209</v>
      </c>
      <c r="D105" s="56" t="s">
        <v>210</v>
      </c>
      <c r="E105" s="56"/>
      <c r="F105" s="93">
        <f t="shared" si="50"/>
        <v>200000</v>
      </c>
      <c r="G105" s="58">
        <v>4</v>
      </c>
      <c r="H105" s="59">
        <v>1.6E-2</v>
      </c>
      <c r="I105" s="9">
        <f t="shared" si="51"/>
        <v>3200</v>
      </c>
      <c r="J105" s="17">
        <v>46183</v>
      </c>
      <c r="K105" s="12" t="s">
        <v>7</v>
      </c>
      <c r="L105" s="9">
        <f>($F$102/5)+I105</f>
        <v>103200</v>
      </c>
      <c r="M105" s="56" t="s">
        <v>132</v>
      </c>
      <c r="N105" s="76"/>
      <c r="O105" s="36">
        <f t="shared" si="54"/>
        <v>100000</v>
      </c>
      <c r="P105" s="32">
        <v>0</v>
      </c>
      <c r="Q105" s="56"/>
      <c r="R105" s="56"/>
      <c r="S105" s="56"/>
      <c r="T105" s="56"/>
      <c r="U105" s="56" t="s">
        <v>176</v>
      </c>
      <c r="V105" s="1" t="s">
        <v>132</v>
      </c>
    </row>
    <row r="106" spans="1:22" ht="15.75" hidden="1" thickBot="1" x14ac:dyDescent="0.3">
      <c r="A106" s="32" t="s">
        <v>175</v>
      </c>
      <c r="B106" s="56">
        <v>10</v>
      </c>
      <c r="C106" s="56" t="s">
        <v>209</v>
      </c>
      <c r="D106" s="56" t="s">
        <v>210</v>
      </c>
      <c r="E106" s="56"/>
      <c r="F106" s="93">
        <f t="shared" si="50"/>
        <v>100000</v>
      </c>
      <c r="G106" s="58">
        <v>5</v>
      </c>
      <c r="H106" s="59">
        <v>1.6E-2</v>
      </c>
      <c r="I106" s="9">
        <f t="shared" si="51"/>
        <v>1600</v>
      </c>
      <c r="J106" s="17">
        <v>46213</v>
      </c>
      <c r="K106" s="12" t="s">
        <v>8</v>
      </c>
      <c r="L106" s="9">
        <f>($F$102/5)+I106</f>
        <v>101600</v>
      </c>
      <c r="M106" s="56" t="s">
        <v>132</v>
      </c>
      <c r="N106" s="76"/>
      <c r="O106" s="36">
        <f t="shared" si="54"/>
        <v>100000</v>
      </c>
      <c r="P106" s="32">
        <v>0</v>
      </c>
      <c r="Q106" s="56"/>
      <c r="R106" s="56"/>
      <c r="S106" s="56"/>
      <c r="T106" s="56" t="s">
        <v>56</v>
      </c>
      <c r="U106" s="56" t="s">
        <v>176</v>
      </c>
      <c r="V106" s="1" t="s">
        <v>132</v>
      </c>
    </row>
    <row r="107" spans="1:22" ht="15.75" hidden="1" thickBot="1" x14ac:dyDescent="0.3">
      <c r="A107" s="32" t="s">
        <v>177</v>
      </c>
      <c r="B107" s="56">
        <v>7</v>
      </c>
      <c r="C107" s="56" t="s">
        <v>215</v>
      </c>
      <c r="D107" s="56" t="s">
        <v>216</v>
      </c>
      <c r="E107" s="56" t="s">
        <v>3</v>
      </c>
      <c r="F107" s="23">
        <v>1300000</v>
      </c>
      <c r="G107" s="58">
        <v>1</v>
      </c>
      <c r="H107" s="59">
        <v>1.4E-2</v>
      </c>
      <c r="I107" s="9">
        <f t="shared" ref="I107:I110" si="55">F107*H107</f>
        <v>18200</v>
      </c>
      <c r="J107" s="17">
        <v>46091</v>
      </c>
      <c r="K107" s="12" t="s">
        <v>4</v>
      </c>
      <c r="L107" s="9">
        <f>($F$107/4)+I107</f>
        <v>343200</v>
      </c>
      <c r="M107" s="56" t="s">
        <v>132</v>
      </c>
      <c r="N107" s="76"/>
      <c r="O107" s="36">
        <f>$F$107/4</f>
        <v>325000</v>
      </c>
      <c r="P107" s="32">
        <v>0</v>
      </c>
      <c r="Q107" s="56"/>
      <c r="R107" s="56"/>
      <c r="S107" s="56"/>
      <c r="T107" s="56" t="s">
        <v>57</v>
      </c>
      <c r="U107" s="56" t="s">
        <v>181</v>
      </c>
      <c r="V107" s="1" t="s">
        <v>132</v>
      </c>
    </row>
    <row r="108" spans="1:22" ht="15.75" hidden="1" thickBot="1" x14ac:dyDescent="0.3">
      <c r="A108" s="32" t="s">
        <v>178</v>
      </c>
      <c r="B108" s="56">
        <v>7</v>
      </c>
      <c r="C108" s="56" t="s">
        <v>215</v>
      </c>
      <c r="D108" s="56" t="s">
        <v>216</v>
      </c>
      <c r="E108" s="56"/>
      <c r="F108" s="93">
        <f>F107-O108</f>
        <v>975000</v>
      </c>
      <c r="G108" s="58">
        <v>2</v>
      </c>
      <c r="H108" s="59">
        <v>1.4E-2</v>
      </c>
      <c r="I108" s="9">
        <f t="shared" si="55"/>
        <v>13650</v>
      </c>
      <c r="J108" s="17">
        <v>46122</v>
      </c>
      <c r="K108" s="12" t="s">
        <v>5</v>
      </c>
      <c r="L108" s="9">
        <f>($F$107/4)+I108</f>
        <v>338650</v>
      </c>
      <c r="M108" s="56" t="s">
        <v>132</v>
      </c>
      <c r="N108" s="76"/>
      <c r="O108" s="36">
        <f>$F$107/4</f>
        <v>325000</v>
      </c>
      <c r="P108" s="32">
        <v>0</v>
      </c>
      <c r="Q108" s="56"/>
      <c r="R108" s="56"/>
      <c r="S108" s="56"/>
      <c r="T108" s="56"/>
      <c r="U108" s="56" t="s">
        <v>181</v>
      </c>
      <c r="V108" s="1" t="s">
        <v>132</v>
      </c>
    </row>
    <row r="109" spans="1:22" ht="15.75" hidden="1" thickBot="1" x14ac:dyDescent="0.3">
      <c r="A109" s="32" t="s">
        <v>179</v>
      </c>
      <c r="B109" s="56">
        <v>7</v>
      </c>
      <c r="C109" s="56" t="s">
        <v>215</v>
      </c>
      <c r="D109" s="56" t="s">
        <v>216</v>
      </c>
      <c r="E109" s="56"/>
      <c r="F109" s="93">
        <f t="shared" ref="F109:F110" si="56">F108-O109</f>
        <v>650000</v>
      </c>
      <c r="G109" s="58">
        <v>3</v>
      </c>
      <c r="H109" s="59">
        <v>1.4E-2</v>
      </c>
      <c r="I109" s="9">
        <f t="shared" si="55"/>
        <v>9100</v>
      </c>
      <c r="J109" s="17">
        <v>46152</v>
      </c>
      <c r="K109" s="12" t="s">
        <v>6</v>
      </c>
      <c r="L109" s="9">
        <f>($F$107/4)+I109</f>
        <v>334100</v>
      </c>
      <c r="M109" s="56" t="s">
        <v>132</v>
      </c>
      <c r="N109" s="76"/>
      <c r="O109" s="36">
        <f>$F$107/4</f>
        <v>325000</v>
      </c>
      <c r="P109" s="32">
        <v>0</v>
      </c>
      <c r="Q109" s="56"/>
      <c r="R109" s="56"/>
      <c r="S109" s="56"/>
      <c r="T109" s="56"/>
      <c r="U109" s="56" t="s">
        <v>181</v>
      </c>
      <c r="V109" s="1" t="s">
        <v>132</v>
      </c>
    </row>
    <row r="110" spans="1:22" ht="15.75" hidden="1" thickBot="1" x14ac:dyDescent="0.3">
      <c r="A110" s="32" t="s">
        <v>180</v>
      </c>
      <c r="B110" s="56">
        <v>7</v>
      </c>
      <c r="C110" s="56" t="s">
        <v>215</v>
      </c>
      <c r="D110" s="56" t="s">
        <v>216</v>
      </c>
      <c r="E110" s="56"/>
      <c r="F110" s="93">
        <f t="shared" si="56"/>
        <v>325000</v>
      </c>
      <c r="G110" s="58">
        <v>4</v>
      </c>
      <c r="H110" s="59">
        <v>1.4E-2</v>
      </c>
      <c r="I110" s="9">
        <f t="shared" si="55"/>
        <v>4550</v>
      </c>
      <c r="J110" s="17">
        <v>46183</v>
      </c>
      <c r="K110" s="12" t="s">
        <v>7</v>
      </c>
      <c r="L110" s="9">
        <f>($F$107/4)+I110</f>
        <v>329550</v>
      </c>
      <c r="M110" s="56" t="s">
        <v>132</v>
      </c>
      <c r="N110" s="76"/>
      <c r="O110" s="36">
        <f>$F$107/4</f>
        <v>325000</v>
      </c>
      <c r="P110" s="32">
        <v>0</v>
      </c>
      <c r="Q110" s="56"/>
      <c r="R110" s="56"/>
      <c r="S110" s="56"/>
      <c r="T110" s="32" t="s">
        <v>56</v>
      </c>
      <c r="U110" s="56" t="s">
        <v>181</v>
      </c>
      <c r="V110" s="1" t="s">
        <v>132</v>
      </c>
    </row>
    <row r="111" spans="1:22" s="30" customFormat="1" ht="15.75" hidden="1" thickBot="1" x14ac:dyDescent="0.3">
      <c r="A111" s="32" t="s">
        <v>182</v>
      </c>
      <c r="B111" s="1">
        <v>3</v>
      </c>
      <c r="C111" s="1" t="s">
        <v>192</v>
      </c>
      <c r="D111" s="1" t="s">
        <v>198</v>
      </c>
      <c r="E111" s="22" t="s">
        <v>3</v>
      </c>
      <c r="F111" s="23">
        <v>5000000</v>
      </c>
      <c r="G111" s="24">
        <v>1</v>
      </c>
      <c r="H111" s="25">
        <v>1.6E-2</v>
      </c>
      <c r="I111" s="26">
        <f>F111*H111</f>
        <v>80000</v>
      </c>
      <c r="J111" s="17">
        <v>46091</v>
      </c>
      <c r="K111" s="12" t="s">
        <v>4</v>
      </c>
      <c r="L111" s="26">
        <f>($F$76/10)+I111</f>
        <v>580000</v>
      </c>
      <c r="M111" s="22" t="s">
        <v>132</v>
      </c>
      <c r="N111" s="86"/>
      <c r="O111" s="29">
        <f>$F$76/10</f>
        <v>500000</v>
      </c>
      <c r="P111" s="32">
        <v>0</v>
      </c>
      <c r="Q111" s="48" t="s">
        <v>19</v>
      </c>
      <c r="R111" s="48"/>
      <c r="S111" s="48">
        <v>2014</v>
      </c>
      <c r="T111" s="48" t="s">
        <v>57</v>
      </c>
      <c r="U111" s="56" t="s">
        <v>193</v>
      </c>
      <c r="V111" s="30" t="s">
        <v>132</v>
      </c>
    </row>
    <row r="112" spans="1:22" ht="15.75" hidden="1" thickBot="1" x14ac:dyDescent="0.3">
      <c r="A112" s="32" t="s">
        <v>183</v>
      </c>
      <c r="B112" s="1">
        <v>3</v>
      </c>
      <c r="C112" s="1" t="s">
        <v>192</v>
      </c>
      <c r="D112" s="1" t="s">
        <v>198</v>
      </c>
      <c r="E112" s="32"/>
      <c r="F112" s="33">
        <f>F111-O112</f>
        <v>4500000</v>
      </c>
      <c r="G112" s="34">
        <v>2</v>
      </c>
      <c r="H112" s="35">
        <v>1.6E-2</v>
      </c>
      <c r="I112" s="9">
        <f t="shared" ref="I112:I120" si="57">F112*H112</f>
        <v>72000</v>
      </c>
      <c r="J112" s="17">
        <v>46122</v>
      </c>
      <c r="K112" s="12" t="s">
        <v>5</v>
      </c>
      <c r="L112" s="9">
        <f>($F$76/10)+I112</f>
        <v>572000</v>
      </c>
      <c r="M112" s="32" t="s">
        <v>132</v>
      </c>
      <c r="N112" s="87"/>
      <c r="O112" s="36">
        <f>$F$76/10</f>
        <v>500000</v>
      </c>
      <c r="P112" s="32">
        <v>0</v>
      </c>
      <c r="U112" s="56" t="s">
        <v>193</v>
      </c>
      <c r="V112" s="1" t="s">
        <v>132</v>
      </c>
    </row>
    <row r="113" spans="1:22" ht="15.75" hidden="1" thickBot="1" x14ac:dyDescent="0.3">
      <c r="A113" s="32" t="s">
        <v>184</v>
      </c>
      <c r="B113" s="1">
        <v>3</v>
      </c>
      <c r="C113" s="1" t="s">
        <v>192</v>
      </c>
      <c r="D113" s="1" t="s">
        <v>198</v>
      </c>
      <c r="E113" s="32"/>
      <c r="F113" s="33">
        <f>F112-O113</f>
        <v>4000000</v>
      </c>
      <c r="G113" s="34">
        <v>3</v>
      </c>
      <c r="H113" s="35">
        <v>1.6E-2</v>
      </c>
      <c r="I113" s="9">
        <f t="shared" si="57"/>
        <v>64000</v>
      </c>
      <c r="J113" s="17">
        <v>46152</v>
      </c>
      <c r="K113" s="12" t="s">
        <v>147</v>
      </c>
      <c r="L113" s="9">
        <f t="shared" ref="L113:L120" si="58">($F$76/10)+I113</f>
        <v>564000</v>
      </c>
      <c r="M113" s="32" t="s">
        <v>132</v>
      </c>
      <c r="N113" s="87"/>
      <c r="O113" s="36">
        <f t="shared" ref="O113:O120" si="59">$F$76/10</f>
        <v>500000</v>
      </c>
      <c r="P113" s="32">
        <v>0</v>
      </c>
      <c r="U113" s="56" t="s">
        <v>193</v>
      </c>
      <c r="V113" s="1" t="s">
        <v>132</v>
      </c>
    </row>
    <row r="114" spans="1:22" ht="15.75" hidden="1" thickBot="1" x14ac:dyDescent="0.3">
      <c r="A114" s="32" t="s">
        <v>185</v>
      </c>
      <c r="B114" s="1">
        <v>3</v>
      </c>
      <c r="C114" s="1" t="s">
        <v>192</v>
      </c>
      <c r="D114" s="1" t="s">
        <v>198</v>
      </c>
      <c r="E114" s="32"/>
      <c r="F114" s="33">
        <f>F113-O114</f>
        <v>3500000</v>
      </c>
      <c r="G114" s="34">
        <v>4</v>
      </c>
      <c r="H114" s="35">
        <v>1.6E-2</v>
      </c>
      <c r="I114" s="9">
        <f t="shared" si="57"/>
        <v>56000</v>
      </c>
      <c r="J114" s="17">
        <v>46183</v>
      </c>
      <c r="K114" s="12" t="s">
        <v>7</v>
      </c>
      <c r="L114" s="9">
        <f t="shared" si="58"/>
        <v>556000</v>
      </c>
      <c r="M114" s="32" t="s">
        <v>132</v>
      </c>
      <c r="N114" s="87"/>
      <c r="O114" s="36">
        <f t="shared" si="59"/>
        <v>500000</v>
      </c>
      <c r="P114" s="32">
        <v>0</v>
      </c>
      <c r="U114" s="56" t="s">
        <v>193</v>
      </c>
      <c r="V114" s="1" t="s">
        <v>132</v>
      </c>
    </row>
    <row r="115" spans="1:22" ht="15.75" hidden="1" thickBot="1" x14ac:dyDescent="0.3">
      <c r="A115" s="32" t="s">
        <v>186</v>
      </c>
      <c r="B115" s="1">
        <v>3</v>
      </c>
      <c r="C115" s="1" t="s">
        <v>192</v>
      </c>
      <c r="D115" s="1" t="s">
        <v>198</v>
      </c>
      <c r="E115" s="32"/>
      <c r="F115" s="33">
        <f>F114-O115</f>
        <v>3000000</v>
      </c>
      <c r="G115" s="34">
        <v>5</v>
      </c>
      <c r="H115" s="35">
        <v>1.6E-2</v>
      </c>
      <c r="I115" s="9">
        <f t="shared" si="57"/>
        <v>48000</v>
      </c>
      <c r="J115" s="17">
        <v>46213</v>
      </c>
      <c r="K115" s="12" t="s">
        <v>8</v>
      </c>
      <c r="L115" s="9">
        <f t="shared" si="58"/>
        <v>548000</v>
      </c>
      <c r="M115" s="32" t="s">
        <v>132</v>
      </c>
      <c r="N115" s="87"/>
      <c r="O115" s="36">
        <f t="shared" si="59"/>
        <v>500000</v>
      </c>
      <c r="P115" s="32">
        <v>0</v>
      </c>
      <c r="U115" s="56" t="s">
        <v>193</v>
      </c>
      <c r="V115" s="1" t="s">
        <v>132</v>
      </c>
    </row>
    <row r="116" spans="1:22" ht="15.75" hidden="1" thickBot="1" x14ac:dyDescent="0.3">
      <c r="A116" s="32" t="s">
        <v>187</v>
      </c>
      <c r="B116" s="1">
        <v>3</v>
      </c>
      <c r="C116" s="1" t="s">
        <v>192</v>
      </c>
      <c r="D116" s="1" t="s">
        <v>198</v>
      </c>
      <c r="E116" s="32"/>
      <c r="F116" s="33">
        <f t="shared" ref="F116:F120" si="60">F115-O116</f>
        <v>2500000</v>
      </c>
      <c r="G116" s="34">
        <v>6</v>
      </c>
      <c r="H116" s="35">
        <v>1.6E-2</v>
      </c>
      <c r="I116" s="9">
        <f t="shared" si="57"/>
        <v>40000</v>
      </c>
      <c r="J116" s="17">
        <v>46244</v>
      </c>
      <c r="K116" s="12" t="s">
        <v>9</v>
      </c>
      <c r="L116" s="9">
        <f t="shared" si="58"/>
        <v>540000</v>
      </c>
      <c r="M116" s="32" t="s">
        <v>132</v>
      </c>
      <c r="N116" s="87"/>
      <c r="O116" s="36">
        <f t="shared" si="59"/>
        <v>500000</v>
      </c>
      <c r="P116" s="32">
        <v>0</v>
      </c>
      <c r="U116" s="56" t="s">
        <v>193</v>
      </c>
      <c r="V116" s="1" t="s">
        <v>132</v>
      </c>
    </row>
    <row r="117" spans="1:22" ht="15.75" hidden="1" thickBot="1" x14ac:dyDescent="0.3">
      <c r="A117" s="32" t="s">
        <v>188</v>
      </c>
      <c r="B117" s="1">
        <v>3</v>
      </c>
      <c r="C117" s="1" t="s">
        <v>192</v>
      </c>
      <c r="D117" s="1" t="s">
        <v>198</v>
      </c>
      <c r="E117" s="32"/>
      <c r="F117" s="33">
        <f t="shared" si="60"/>
        <v>2000000</v>
      </c>
      <c r="G117" s="34">
        <v>7</v>
      </c>
      <c r="H117" s="35">
        <v>1.6E-2</v>
      </c>
      <c r="I117" s="9">
        <f t="shared" si="57"/>
        <v>32000</v>
      </c>
      <c r="J117" s="17">
        <v>46275</v>
      </c>
      <c r="K117" s="12" t="s">
        <v>10</v>
      </c>
      <c r="L117" s="9">
        <f t="shared" si="58"/>
        <v>532000</v>
      </c>
      <c r="M117" s="32" t="s">
        <v>132</v>
      </c>
      <c r="N117" s="87"/>
      <c r="O117" s="36">
        <f t="shared" si="59"/>
        <v>500000</v>
      </c>
      <c r="P117" s="32">
        <v>0</v>
      </c>
      <c r="U117" s="56" t="s">
        <v>193</v>
      </c>
      <c r="V117" s="1" t="s">
        <v>132</v>
      </c>
    </row>
    <row r="118" spans="1:22" ht="15.75" hidden="1" thickBot="1" x14ac:dyDescent="0.3">
      <c r="A118" s="32" t="s">
        <v>189</v>
      </c>
      <c r="B118" s="1">
        <v>3</v>
      </c>
      <c r="C118" s="1" t="s">
        <v>192</v>
      </c>
      <c r="D118" s="1" t="s">
        <v>198</v>
      </c>
      <c r="E118" s="32"/>
      <c r="F118" s="33">
        <f t="shared" si="60"/>
        <v>1500000</v>
      </c>
      <c r="G118" s="34">
        <v>8</v>
      </c>
      <c r="H118" s="35">
        <v>1.6E-2</v>
      </c>
      <c r="I118" s="9">
        <f t="shared" si="57"/>
        <v>24000</v>
      </c>
      <c r="J118" s="17">
        <v>46305</v>
      </c>
      <c r="K118" s="12" t="s">
        <v>13</v>
      </c>
      <c r="L118" s="9">
        <f t="shared" si="58"/>
        <v>524000</v>
      </c>
      <c r="M118" s="32" t="s">
        <v>132</v>
      </c>
      <c r="N118" s="87"/>
      <c r="O118" s="36">
        <f t="shared" si="59"/>
        <v>500000</v>
      </c>
      <c r="P118" s="32">
        <v>0</v>
      </c>
      <c r="U118" s="56" t="s">
        <v>193</v>
      </c>
      <c r="V118" s="1" t="s">
        <v>132</v>
      </c>
    </row>
    <row r="119" spans="1:22" ht="15.75" hidden="1" thickBot="1" x14ac:dyDescent="0.3">
      <c r="A119" s="32" t="s">
        <v>190</v>
      </c>
      <c r="B119" s="1">
        <v>3</v>
      </c>
      <c r="C119" s="1" t="s">
        <v>192</v>
      </c>
      <c r="D119" s="1" t="s">
        <v>198</v>
      </c>
      <c r="E119" s="32"/>
      <c r="F119" s="33">
        <f t="shared" si="60"/>
        <v>1000000</v>
      </c>
      <c r="G119" s="34">
        <v>9</v>
      </c>
      <c r="H119" s="35">
        <v>1.6E-2</v>
      </c>
      <c r="I119" s="9">
        <f t="shared" si="57"/>
        <v>16000</v>
      </c>
      <c r="J119" s="17">
        <v>46336</v>
      </c>
      <c r="K119" s="12" t="s">
        <v>15</v>
      </c>
      <c r="L119" s="9">
        <f t="shared" si="58"/>
        <v>516000</v>
      </c>
      <c r="M119" s="32" t="s">
        <v>132</v>
      </c>
      <c r="N119" s="87"/>
      <c r="O119" s="36">
        <f t="shared" si="59"/>
        <v>500000</v>
      </c>
      <c r="P119" s="32">
        <v>0</v>
      </c>
      <c r="U119" s="56" t="s">
        <v>193</v>
      </c>
      <c r="V119" s="1" t="s">
        <v>132</v>
      </c>
    </row>
    <row r="120" spans="1:22" ht="15.75" hidden="1" thickBot="1" x14ac:dyDescent="0.3">
      <c r="A120" s="32" t="s">
        <v>191</v>
      </c>
      <c r="B120" s="1">
        <v>3</v>
      </c>
      <c r="C120" s="1" t="s">
        <v>192</v>
      </c>
      <c r="D120" s="1" t="s">
        <v>198</v>
      </c>
      <c r="E120" s="32"/>
      <c r="F120" s="33">
        <f t="shared" si="60"/>
        <v>500000</v>
      </c>
      <c r="G120" s="34">
        <v>10</v>
      </c>
      <c r="H120" s="35">
        <v>1.6E-2</v>
      </c>
      <c r="I120" s="9">
        <f t="shared" si="57"/>
        <v>8000</v>
      </c>
      <c r="J120" s="17">
        <v>46366</v>
      </c>
      <c r="K120" s="12" t="s">
        <v>14</v>
      </c>
      <c r="L120" s="9">
        <f t="shared" si="58"/>
        <v>508000</v>
      </c>
      <c r="M120" s="32" t="s">
        <v>132</v>
      </c>
      <c r="N120" s="87"/>
      <c r="O120" s="36">
        <f t="shared" si="59"/>
        <v>500000</v>
      </c>
      <c r="P120" s="32">
        <v>0</v>
      </c>
      <c r="T120" s="32" t="s">
        <v>56</v>
      </c>
      <c r="U120" s="56" t="s">
        <v>193</v>
      </c>
      <c r="V120" s="1" t="s">
        <v>132</v>
      </c>
    </row>
    <row r="121" spans="1:22" s="30" customFormat="1" ht="15.75" hidden="1" thickBot="1" x14ac:dyDescent="0.3">
      <c r="A121" s="32" t="s">
        <v>195</v>
      </c>
      <c r="B121" s="1">
        <v>2</v>
      </c>
      <c r="C121" s="1" t="s">
        <v>202</v>
      </c>
      <c r="D121" s="1" t="s">
        <v>198</v>
      </c>
      <c r="E121" s="22" t="s">
        <v>3</v>
      </c>
      <c r="F121" s="23">
        <v>1300000</v>
      </c>
      <c r="G121" s="24">
        <v>1</v>
      </c>
      <c r="H121" s="25">
        <v>1.4E-2</v>
      </c>
      <c r="I121" s="26">
        <f>F121*H121</f>
        <v>18200</v>
      </c>
      <c r="J121" s="17">
        <v>46122</v>
      </c>
      <c r="K121" s="12" t="s">
        <v>5</v>
      </c>
      <c r="L121" s="26">
        <f>($F$121/2)+I121</f>
        <v>668200</v>
      </c>
      <c r="M121" s="22" t="s">
        <v>132</v>
      </c>
      <c r="N121" s="86"/>
      <c r="O121" s="29">
        <f>$F$121/2</f>
        <v>650000</v>
      </c>
      <c r="P121" s="32">
        <v>0</v>
      </c>
      <c r="Q121" s="56" t="s">
        <v>51</v>
      </c>
      <c r="R121" s="48"/>
      <c r="S121" s="48">
        <v>2014</v>
      </c>
      <c r="T121" s="48" t="s">
        <v>57</v>
      </c>
      <c r="U121" s="56" t="s">
        <v>197</v>
      </c>
      <c r="V121" s="30" t="s">
        <v>132</v>
      </c>
    </row>
    <row r="122" spans="1:22" ht="15.75" hidden="1" thickBot="1" x14ac:dyDescent="0.3">
      <c r="A122" s="32" t="s">
        <v>196</v>
      </c>
      <c r="B122" s="1">
        <v>2</v>
      </c>
      <c r="C122" s="1" t="s">
        <v>202</v>
      </c>
      <c r="D122" s="1" t="s">
        <v>198</v>
      </c>
      <c r="E122" s="32"/>
      <c r="F122" s="33">
        <f>F121-O122</f>
        <v>650000</v>
      </c>
      <c r="G122" s="34">
        <v>2</v>
      </c>
      <c r="H122" s="25">
        <v>1.4E-2</v>
      </c>
      <c r="I122" s="9">
        <f t="shared" ref="I122" si="61">F122*H122</f>
        <v>9100</v>
      </c>
      <c r="J122" s="17">
        <v>46152</v>
      </c>
      <c r="K122" s="12" t="s">
        <v>6</v>
      </c>
      <c r="L122" s="26">
        <f>($F$121/2)+I122</f>
        <v>659100</v>
      </c>
      <c r="M122" s="32" t="s">
        <v>132</v>
      </c>
      <c r="N122" s="87"/>
      <c r="O122" s="29">
        <f>$F$121/2</f>
        <v>650000</v>
      </c>
      <c r="P122" s="32">
        <v>0</v>
      </c>
      <c r="T122" s="32" t="s">
        <v>56</v>
      </c>
      <c r="U122" s="56" t="s">
        <v>197</v>
      </c>
      <c r="V122" s="1" t="s">
        <v>132</v>
      </c>
    </row>
    <row r="123" spans="1:22" x14ac:dyDescent="0.25">
      <c r="A123" s="32" t="s">
        <v>217</v>
      </c>
      <c r="B123" s="1">
        <v>13</v>
      </c>
      <c r="C123" s="1" t="s">
        <v>218</v>
      </c>
      <c r="D123" s="1" t="s">
        <v>219</v>
      </c>
      <c r="E123" s="32" t="s">
        <v>6</v>
      </c>
      <c r="F123" s="33">
        <v>2000000</v>
      </c>
      <c r="G123" s="34">
        <v>1</v>
      </c>
      <c r="H123" s="25">
        <v>1.4E-2</v>
      </c>
      <c r="I123" s="9">
        <f t="shared" ref="I123" si="62">F123*H123</f>
        <v>28000</v>
      </c>
      <c r="J123" s="17">
        <v>46188</v>
      </c>
      <c r="K123" s="12" t="s">
        <v>7</v>
      </c>
      <c r="L123" s="26">
        <f>($F$123/1)+I123</f>
        <v>2028000</v>
      </c>
      <c r="M123" s="32" t="s">
        <v>132</v>
      </c>
      <c r="N123" s="87"/>
      <c r="O123" s="29">
        <f>$F$123/1</f>
        <v>2000000</v>
      </c>
      <c r="P123" s="32">
        <v>0</v>
      </c>
      <c r="T123" s="32" t="s">
        <v>56</v>
      </c>
      <c r="U123" s="56" t="s">
        <v>220</v>
      </c>
      <c r="V123" s="1" t="s">
        <v>132</v>
      </c>
    </row>
  </sheetData>
  <autoFilter ref="A1:V123" xr:uid="{00000000-0001-0000-0000-000000000000}">
    <filterColumn colId="2">
      <filters>
        <filter val="Carolina"/>
      </filters>
    </filterColumn>
    <filterColumn colId="21">
      <filters>
        <filter val="Pendiente"/>
      </filters>
    </filterColumn>
  </autoFilter>
  <phoneticPr fontId="7" type="noConversion"/>
  <conditionalFormatting sqref="A1:A1048576">
    <cfRule type="duplicateValues" dxfId="2" priority="1"/>
    <cfRule type="duplicateValues" dxfId="1" priority="16"/>
    <cfRule type="duplicateValues" dxfId="0" priority="17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8D35-1688-4E65-B780-6FF50BB7388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592C-EC5B-4FE6-849F-25FD3DE9A0CE}">
  <dimension ref="A1:A12"/>
  <sheetViews>
    <sheetView workbookViewId="0">
      <selection activeCell="C25" sqref="C25"/>
    </sheetView>
  </sheetViews>
  <sheetFormatPr baseColWidth="10" defaultRowHeight="15" x14ac:dyDescent="0.2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13</v>
      </c>
    </row>
    <row r="11" spans="1:1" x14ac:dyDescent="0.25">
      <c r="A11" t="s">
        <v>15</v>
      </c>
    </row>
    <row r="12" spans="1:1" x14ac:dyDescent="0.25">
      <c r="A12" t="s">
        <v>14</v>
      </c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56D793D67F3A4AB4D20CB959B266D0" ma:contentTypeVersion="4" ma:contentTypeDescription="Crear nuevo documento." ma:contentTypeScope="" ma:versionID="611cbbdf845c335450ec9b7cdf8f72d0">
  <xsd:schema xmlns:xsd="http://www.w3.org/2001/XMLSchema" xmlns:xs="http://www.w3.org/2001/XMLSchema" xmlns:p="http://schemas.microsoft.com/office/2006/metadata/properties" xmlns:ns2="e60ade56-7937-4eb3-b7cb-7c910e6c4f1d" targetNamespace="http://schemas.microsoft.com/office/2006/metadata/properties" ma:root="true" ma:fieldsID="5075560efe3ecab5a63ed19ae1c721bf" ns2:_="">
    <xsd:import namespace="e60ade56-7937-4eb3-b7cb-7c910e6c4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0ade56-7937-4eb3-b7cb-7c910e6c4f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20D2E1-3CDC-4AD2-B2DF-A7E51DB887D3}">
  <ds:schemaRefs>
    <ds:schemaRef ds:uri="http://schemas.microsoft.com/office/2006/documentManagement/types"/>
    <ds:schemaRef ds:uri="http://www.w3.org/XML/1998/namespace"/>
    <ds:schemaRef ds:uri="e60ade56-7937-4eb3-b7cb-7c910e6c4f1d"/>
    <ds:schemaRef ds:uri="http://schemas.openxmlformats.org/package/2006/metadata/core-properties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4DE0541-9D3F-44E5-A2AC-C233CCF331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0E9175-1327-4F7D-BD6D-90BBD3E8F8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0ade56-7937-4eb3-b7cb-7c910e6c4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Prestamo</vt:lpstr>
      <vt:lpstr>Hoja1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Vladimir Escobar Diaz</cp:lastModifiedBy>
  <dcterms:created xsi:type="dcterms:W3CDTF">2019-06-27T11:44:07Z</dcterms:created>
  <dcterms:modified xsi:type="dcterms:W3CDTF">2026-05-14T23:21:28Z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0x010100A456D793D67F3A4AB4D20CB959B266D0</vt:lpwstr>
  </property>
</Properties>
</file>