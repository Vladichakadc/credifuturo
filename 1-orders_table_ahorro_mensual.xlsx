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redifuturo\"/>
    </mc:Choice>
  </mc:AlternateContent>
  <xr:revisionPtr revIDLastSave="0" documentId="13_ncr:1_{75B2DE00-6C7C-407E-877A-C04CA4BAA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horro" sheetId="1" r:id="rId1"/>
    <sheet name="Devolucion" sheetId="7" r:id="rId2"/>
    <sheet name="Calculos" sheetId="5" r:id="rId3"/>
    <sheet name="Hoja3" sheetId="4" r:id="rId4"/>
    <sheet name="varios" sheetId="6" r:id="rId5"/>
  </sheets>
  <definedNames>
    <definedName name="_xlnm._FilterDatabase" localSheetId="0" hidden="1">Ahorro!$A$1:$W$1</definedName>
    <definedName name="SegmentaciónDeDatos_Mes_pag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2" i="1" l="1"/>
  <c r="L13" i="1"/>
  <c r="M13" i="1" s="1"/>
  <c r="L14" i="1"/>
  <c r="M14" i="1" s="1"/>
  <c r="L28" i="1" l="1"/>
  <c r="M28" i="1" s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0" i="1"/>
  <c r="M123" i="1"/>
  <c r="M122" i="1"/>
  <c r="L121" i="1"/>
  <c r="M121" i="1" s="1"/>
  <c r="L120" i="1"/>
  <c r="M120" i="1" s="1"/>
  <c r="L119" i="1"/>
  <c r="M119" i="1" s="1"/>
  <c r="M118" i="1"/>
  <c r="M361" i="1"/>
  <c r="M117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78" i="1"/>
  <c r="J77" i="1"/>
  <c r="J76" i="1"/>
  <c r="J75" i="1"/>
  <c r="J74" i="1"/>
  <c r="J73" i="1"/>
  <c r="J72" i="1"/>
  <c r="L32" i="1"/>
  <c r="M32" i="1" s="1"/>
  <c r="L31" i="1"/>
  <c r="M31" i="1" s="1"/>
  <c r="L33" i="1"/>
  <c r="M33" i="1" s="1"/>
  <c r="L36" i="1"/>
  <c r="M36" i="1" s="1"/>
  <c r="L35" i="1"/>
  <c r="M35" i="1" s="1"/>
  <c r="L34" i="1"/>
  <c r="M34" i="1" s="1"/>
  <c r="L37" i="1"/>
  <c r="M37" i="1" s="1"/>
  <c r="M38" i="1"/>
  <c r="M39" i="1"/>
  <c r="M40" i="1"/>
  <c r="M41" i="1" l="1"/>
  <c r="M42" i="1"/>
  <c r="L43" i="1"/>
  <c r="M43" i="1" s="1"/>
  <c r="M44" i="1"/>
  <c r="M45" i="1"/>
  <c r="M46" i="1"/>
  <c r="M47" i="1"/>
  <c r="L51" i="1"/>
  <c r="M51" i="1" s="1"/>
  <c r="K124" i="1"/>
  <c r="L50" i="1"/>
  <c r="M50" i="1" s="1"/>
  <c r="C23" i="7"/>
  <c r="L55" i="1"/>
  <c r="M55" i="1" s="1"/>
  <c r="M53" i="1"/>
  <c r="M54" i="1"/>
  <c r="M70" i="1"/>
  <c r="L49" i="1"/>
  <c r="M49" i="1" s="1"/>
  <c r="L48" i="1"/>
  <c r="M48" i="1" s="1"/>
  <c r="M69" i="1"/>
  <c r="M67" i="1"/>
  <c r="M66" i="1"/>
  <c r="M65" i="1"/>
  <c r="M64" i="1"/>
  <c r="M63" i="1"/>
  <c r="M62" i="1"/>
  <c r="M61" i="1"/>
  <c r="M60" i="1"/>
  <c r="M59" i="1"/>
  <c r="M58" i="1"/>
  <c r="M57" i="1"/>
  <c r="M56" i="1"/>
  <c r="M52" i="1"/>
  <c r="M71" i="1"/>
  <c r="M72" i="1"/>
  <c r="M75" i="1"/>
  <c r="M73" i="1"/>
  <c r="M74" i="1"/>
  <c r="M76" i="1"/>
  <c r="M77" i="1"/>
  <c r="M78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92" i="1"/>
  <c r="M94" i="1"/>
  <c r="M93" i="1"/>
  <c r="L96" i="1" l="1"/>
  <c r="M96" i="1" s="1"/>
  <c r="L95" i="1"/>
  <c r="M95" i="1" s="1"/>
  <c r="L124" i="1"/>
  <c r="M124" i="1" s="1"/>
  <c r="L125" i="1"/>
  <c r="M125" i="1" s="1"/>
  <c r="L128" i="1"/>
  <c r="M128" i="1" s="1"/>
  <c r="L127" i="1"/>
  <c r="M127" i="1" s="1"/>
  <c r="L126" i="1"/>
  <c r="M126" i="1" s="1"/>
  <c r="L129" i="1"/>
  <c r="M129" i="1" s="1"/>
  <c r="L130" i="1"/>
  <c r="M130" i="1" s="1"/>
  <c r="L115" i="1"/>
  <c r="M115" i="1" s="1"/>
  <c r="L110" i="1"/>
  <c r="M110" i="1" s="1"/>
  <c r="L116" i="1"/>
  <c r="M116" i="1" s="1"/>
  <c r="L108" i="1"/>
  <c r="M108" i="1" s="1"/>
  <c r="L107" i="1"/>
  <c r="M107" i="1" s="1"/>
  <c r="L101" i="1"/>
  <c r="M101" i="1" s="1"/>
  <c r="L109" i="1"/>
  <c r="M109" i="1" s="1"/>
  <c r="L114" i="1"/>
  <c r="M114" i="1" s="1"/>
  <c r="L112" i="1"/>
  <c r="M112" i="1" s="1"/>
  <c r="L105" i="1"/>
  <c r="M105" i="1" s="1"/>
  <c r="L102" i="1"/>
  <c r="M102" i="1" s="1"/>
  <c r="L99" i="1"/>
  <c r="M99" i="1" s="1"/>
  <c r="L98" i="1"/>
  <c r="M98" i="1" s="1"/>
  <c r="L104" i="1"/>
  <c r="M104" i="1" s="1"/>
  <c r="L106" i="1"/>
  <c r="M106" i="1" s="1"/>
  <c r="L111" i="1"/>
  <c r="M111" i="1" s="1"/>
  <c r="L113" i="1"/>
  <c r="M113" i="1" s="1"/>
  <c r="L103" i="1"/>
  <c r="M103" i="1" s="1"/>
  <c r="L97" i="1"/>
  <c r="M97" i="1" s="1"/>
  <c r="L100" i="1"/>
  <c r="M100" i="1" s="1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22" i="7" s="1"/>
  <c r="F8" i="7"/>
  <c r="F7" i="7"/>
  <c r="F6" i="7"/>
  <c r="F5" i="7"/>
  <c r="F4" i="7"/>
  <c r="F3" i="7"/>
  <c r="F2" i="7"/>
  <c r="D22" i="7"/>
  <c r="C22" i="7"/>
  <c r="E22" i="7"/>
  <c r="L131" i="1"/>
  <c r="M131" i="1" s="1"/>
  <c r="L132" i="1"/>
  <c r="M132" i="1" s="1"/>
  <c r="M133" i="1"/>
  <c r="M140" i="1"/>
  <c r="M139" i="1"/>
  <c r="M143" i="1"/>
  <c r="M144" i="1"/>
  <c r="L146" i="1"/>
  <c r="M146" i="1" s="1"/>
  <c r="M155" i="1"/>
  <c r="M153" i="1"/>
  <c r="M154" i="1"/>
  <c r="M148" i="1"/>
  <c r="M147" i="1"/>
  <c r="L152" i="1"/>
  <c r="M152" i="1" s="1"/>
  <c r="L151" i="1"/>
  <c r="M151" i="1" s="1"/>
  <c r="L150" i="1"/>
  <c r="M150" i="1" s="1"/>
  <c r="L149" i="1"/>
  <c r="M149" i="1" s="1"/>
  <c r="L156" i="1"/>
  <c r="M156" i="1" s="1"/>
  <c r="L157" i="1"/>
  <c r="M157" i="1" s="1"/>
  <c r="M158" i="1"/>
  <c r="M168" i="1"/>
  <c r="M166" i="1"/>
  <c r="M165" i="1"/>
  <c r="M163" i="1"/>
  <c r="M164" i="1"/>
  <c r="L160" i="1"/>
  <c r="M160" i="1" s="1"/>
  <c r="M159" i="1"/>
  <c r="M167" i="1"/>
  <c r="M162" i="1"/>
  <c r="M161" i="1"/>
  <c r="L170" i="1"/>
  <c r="M170" i="1" s="1"/>
  <c r="L169" i="1"/>
  <c r="M169" i="1" s="1"/>
  <c r="M171" i="1"/>
  <c r="M172" i="1"/>
  <c r="B19" i="6"/>
  <c r="B20" i="6" s="1"/>
  <c r="B12" i="6"/>
  <c r="B14" i="6" s="1"/>
  <c r="B16" i="6" s="1"/>
  <c r="B8" i="6"/>
  <c r="B4" i="6"/>
  <c r="L175" i="1"/>
  <c r="M175" i="1" s="1"/>
  <c r="L173" i="1"/>
  <c r="M173" i="1" s="1"/>
  <c r="L174" i="1"/>
  <c r="M174" i="1" s="1"/>
  <c r="M176" i="1"/>
  <c r="M180" i="1"/>
  <c r="M179" i="1"/>
  <c r="M182" i="1"/>
  <c r="M181" i="1"/>
  <c r="L178" i="1"/>
  <c r="M178" i="1" s="1"/>
  <c r="M177" i="1"/>
  <c r="M183" i="1"/>
  <c r="M185" i="1"/>
  <c r="M184" i="1"/>
  <c r="M186" i="1"/>
  <c r="M187" i="1"/>
  <c r="M188" i="1"/>
  <c r="M189" i="1"/>
  <c r="M191" i="1"/>
  <c r="M190" i="1"/>
  <c r="M193" i="1"/>
  <c r="M192" i="1"/>
  <c r="M199" i="1"/>
  <c r="M198" i="1"/>
  <c r="M196" i="1"/>
  <c r="L197" i="1"/>
  <c r="M197" i="1" s="1"/>
  <c r="M194" i="1"/>
  <c r="M195" i="1"/>
  <c r="L203" i="1"/>
  <c r="M203" i="1" s="1"/>
  <c r="L200" i="1"/>
  <c r="M200" i="1" s="1"/>
  <c r="M205" i="1"/>
  <c r="M204" i="1"/>
  <c r="M202" i="1"/>
  <c r="M201" i="1"/>
  <c r="M206" i="1"/>
  <c r="L211" i="1"/>
  <c r="M211" i="1" s="1"/>
  <c r="L210" i="1"/>
  <c r="M210" i="1" s="1"/>
  <c r="L209" i="1"/>
  <c r="M209" i="1" s="1"/>
  <c r="L208" i="1"/>
  <c r="M208" i="1" s="1"/>
  <c r="L207" i="1"/>
  <c r="M207" i="1" s="1"/>
  <c r="E24" i="5"/>
  <c r="B22" i="6" l="1"/>
  <c r="M212" i="1"/>
  <c r="M213" i="1"/>
  <c r="M215" i="1"/>
  <c r="M214" i="1"/>
  <c r="M216" i="1"/>
  <c r="M217" i="1"/>
  <c r="M218" i="1"/>
  <c r="M219" i="1"/>
  <c r="M220" i="1"/>
  <c r="M221" i="1"/>
  <c r="M224" i="1"/>
  <c r="L223" i="1"/>
  <c r="M223" i="1" s="1"/>
  <c r="M222" i="1"/>
  <c r="M225" i="1" l="1"/>
  <c r="M235" i="1"/>
  <c r="M234" i="1"/>
  <c r="M237" i="1"/>
  <c r="M226" i="1"/>
  <c r="G2" i="5"/>
  <c r="C26" i="5"/>
  <c r="E26" i="5" l="1"/>
  <c r="E27" i="5" s="1"/>
  <c r="M227" i="1"/>
  <c r="M229" i="1"/>
  <c r="M228" i="1"/>
  <c r="L232" i="1"/>
  <c r="M232" i="1" s="1"/>
  <c r="M231" i="1"/>
  <c r="M230" i="1"/>
  <c r="M233" i="1"/>
  <c r="M238" i="1"/>
  <c r="L236" i="1"/>
  <c r="M236" i="1" s="1"/>
  <c r="M239" i="1"/>
  <c r="M240" i="1"/>
  <c r="M243" i="1"/>
  <c r="M242" i="1"/>
  <c r="M241" i="1"/>
  <c r="M244" i="1"/>
  <c r="M246" i="1"/>
  <c r="M245" i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M266" i="1"/>
  <c r="M265" i="1"/>
  <c r="M267" i="1"/>
  <c r="M268" i="1"/>
  <c r="M275" i="1"/>
  <c r="M271" i="1"/>
  <c r="M270" i="1"/>
  <c r="L273" i="1"/>
  <c r="M273" i="1" s="1"/>
  <c r="L272" i="1"/>
  <c r="M272" i="1" s="1"/>
  <c r="M269" i="1"/>
  <c r="M274" i="1"/>
  <c r="L276" i="1"/>
  <c r="M276" i="1" s="1"/>
  <c r="L277" i="1"/>
  <c r="M277" i="1" s="1"/>
  <c r="M278" i="1"/>
  <c r="M280" i="1"/>
  <c r="M279" i="1"/>
  <c r="M282" i="1"/>
  <c r="M281" i="1"/>
  <c r="M283" i="1"/>
  <c r="M284" i="1"/>
  <c r="M285" i="1"/>
  <c r="M286" i="1"/>
  <c r="M288" i="1"/>
  <c r="M287" i="1"/>
  <c r="L291" i="1"/>
  <c r="M291" i="1" s="1"/>
  <c r="M292" i="1"/>
  <c r="L290" i="1"/>
  <c r="M290" i="1" s="1"/>
  <c r="L289" i="1"/>
  <c r="M289" i="1" s="1"/>
  <c r="K293" i="1"/>
  <c r="M293" i="1" s="1"/>
  <c r="G21" i="5"/>
  <c r="G13" i="5"/>
  <c r="G18" i="5"/>
  <c r="G23" i="5"/>
  <c r="G4" i="5"/>
  <c r="G15" i="5"/>
  <c r="G9" i="5"/>
  <c r="G14" i="5"/>
  <c r="G10" i="5"/>
  <c r="G16" i="5"/>
  <c r="G11" i="5"/>
  <c r="G22" i="5"/>
  <c r="G20" i="5"/>
  <c r="G8" i="5"/>
  <c r="G19" i="5"/>
  <c r="G6" i="5"/>
  <c r="G5" i="5"/>
  <c r="G17" i="5"/>
  <c r="G12" i="5"/>
  <c r="G7" i="5"/>
  <c r="G25" i="5" l="1"/>
  <c r="I10" i="5"/>
  <c r="I7" i="5"/>
  <c r="I23" i="5"/>
  <c r="I13" i="5"/>
  <c r="I14" i="5"/>
  <c r="I11" i="5"/>
  <c r="I4" i="5"/>
  <c r="I20" i="5"/>
  <c r="I17" i="5"/>
  <c r="I6" i="5"/>
  <c r="I22" i="5"/>
  <c r="I19" i="5"/>
  <c r="I12" i="5"/>
  <c r="I9" i="5"/>
  <c r="I16" i="5"/>
  <c r="I18" i="5"/>
  <c r="I15" i="5"/>
  <c r="I8" i="5"/>
  <c r="I5" i="5"/>
  <c r="I21" i="5"/>
  <c r="M295" i="1"/>
  <c r="M294" i="1"/>
  <c r="M296" i="1"/>
  <c r="M297" i="1"/>
  <c r="M300" i="1"/>
  <c r="M299" i="1"/>
  <c r="M298" i="1"/>
  <c r="M328" i="1"/>
  <c r="L304" i="1"/>
  <c r="M304" i="1" s="1"/>
  <c r="M302" i="1"/>
  <c r="M301" i="1"/>
  <c r="K12" i="5"/>
  <c r="J23" i="5"/>
  <c r="J7" i="5"/>
  <c r="J9" i="5"/>
  <c r="K23" i="5"/>
  <c r="J13" i="5"/>
  <c r="K16" i="5"/>
  <c r="J16" i="5"/>
  <c r="K19" i="5"/>
  <c r="K9" i="5"/>
  <c r="K18" i="5"/>
  <c r="K20" i="5"/>
  <c r="K7" i="5"/>
  <c r="J10" i="5"/>
  <c r="K13" i="5"/>
  <c r="K14" i="5"/>
  <c r="K11" i="5"/>
  <c r="J8" i="5"/>
  <c r="J4" i="5"/>
  <c r="J5" i="5"/>
  <c r="K21" i="5"/>
  <c r="J6" i="5"/>
  <c r="J15" i="5"/>
  <c r="J17" i="5"/>
  <c r="J22" i="5"/>
  <c r="M305" i="1" l="1"/>
  <c r="M303" i="1"/>
  <c r="M306" i="1"/>
  <c r="L390" i="1"/>
  <c r="M390" i="1" s="1"/>
  <c r="L391" i="1"/>
  <c r="M391" i="1" s="1"/>
  <c r="L365" i="1"/>
  <c r="M365" i="1" s="1"/>
  <c r="L362" i="1"/>
  <c r="M362" i="1" s="1"/>
  <c r="M327" i="1"/>
  <c r="L308" i="1"/>
  <c r="M308" i="1" s="1"/>
  <c r="L320" i="1"/>
  <c r="M320" i="1" s="1"/>
  <c r="L321" i="1"/>
  <c r="M321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07" i="1"/>
  <c r="M307" i="1" s="1"/>
  <c r="M319" i="1"/>
  <c r="M370" i="1"/>
  <c r="M371" i="1"/>
  <c r="M372" i="1"/>
  <c r="M373" i="1"/>
  <c r="M374" i="1"/>
  <c r="M375" i="1"/>
  <c r="M376" i="1"/>
  <c r="M377" i="1"/>
  <c r="M367" i="1"/>
  <c r="M368" i="1"/>
  <c r="M369" i="1"/>
  <c r="M363" i="1"/>
  <c r="M364" i="1"/>
  <c r="M359" i="1"/>
  <c r="M360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58" i="1"/>
  <c r="M357" i="1"/>
  <c r="M351" i="1"/>
  <c r="M352" i="1"/>
  <c r="M355" i="1"/>
  <c r="M354" i="1"/>
  <c r="M353" i="1"/>
  <c r="M356" i="1"/>
  <c r="M347" i="1"/>
  <c r="M348" i="1"/>
  <c r="M350" i="1"/>
  <c r="M349" i="1"/>
  <c r="M345" i="1"/>
  <c r="M346" i="1"/>
  <c r="M332" i="1"/>
  <c r="M333" i="1"/>
  <c r="M334" i="1"/>
  <c r="M340" i="1"/>
  <c r="M341" i="1"/>
  <c r="M342" i="1"/>
  <c r="M343" i="1"/>
  <c r="M344" i="1"/>
  <c r="M335" i="1"/>
  <c r="M336" i="1"/>
  <c r="M337" i="1"/>
  <c r="M338" i="1"/>
  <c r="M339" i="1"/>
  <c r="M331" i="1"/>
  <c r="M330" i="1"/>
  <c r="M329" i="1"/>
  <c r="M326" i="1"/>
  <c r="M324" i="1"/>
  <c r="M325" i="1"/>
  <c r="M322" i="1"/>
  <c r="M323" i="1"/>
  <c r="M366" i="1"/>
  <c r="J14" i="5"/>
  <c r="J20" i="5"/>
  <c r="J11" i="5"/>
  <c r="J21" i="5"/>
  <c r="K10" i="5"/>
  <c r="K6" i="5"/>
  <c r="J12" i="5"/>
  <c r="K5" i="5"/>
  <c r="J19" i="5"/>
  <c r="K4" i="5"/>
  <c r="K15" i="5"/>
  <c r="J18" i="5"/>
  <c r="K22" i="5"/>
  <c r="K8" i="5"/>
  <c r="K17" i="5"/>
  <c r="J24" i="5" l="1"/>
</calcChain>
</file>

<file path=xl/sharedStrings.xml><?xml version="1.0" encoding="utf-8"?>
<sst xmlns="http://schemas.openxmlformats.org/spreadsheetml/2006/main" count="3531" uniqueCount="674">
  <si>
    <t>Item_Quantity</t>
  </si>
  <si>
    <t>Customer_id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</si>
  <si>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</si>
  <si>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</si>
  <si>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</si>
  <si>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</si>
  <si>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</si>
  <si>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</si>
  <si>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</si>
  <si>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</si>
  <si>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</si>
  <si>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Nombre</t>
  </si>
  <si>
    <t>Apellido</t>
  </si>
  <si>
    <t>Estado</t>
  </si>
  <si>
    <t>Octubre</t>
  </si>
  <si>
    <t>Id_VM</t>
  </si>
  <si>
    <t>Diciembre</t>
  </si>
  <si>
    <t>Noviembre</t>
  </si>
  <si>
    <t>Fecha Pago</t>
  </si>
  <si>
    <t xml:space="preserve">Banco </t>
  </si>
  <si>
    <t>Desde Cuenta de Ahorros</t>
  </si>
  <si>
    <t># Transaccion</t>
  </si>
  <si>
    <t>BBVA</t>
  </si>
  <si>
    <t>0508</t>
  </si>
  <si>
    <t>000000001</t>
  </si>
  <si>
    <t>AM1</t>
  </si>
  <si>
    <t>Abono</t>
  </si>
  <si>
    <t>Tipo de Ahorro</t>
  </si>
  <si>
    <t>Anual</t>
  </si>
  <si>
    <t>Valor Mensual</t>
  </si>
  <si>
    <t>Observaciones</t>
  </si>
  <si>
    <t>Pago Todo El año</t>
  </si>
  <si>
    <t>AM2</t>
  </si>
  <si>
    <t>Bancolombia</t>
  </si>
  <si>
    <t>76612</t>
  </si>
  <si>
    <t>8083</t>
  </si>
  <si>
    <t>Mensual</t>
  </si>
  <si>
    <t>AM3</t>
  </si>
  <si>
    <t>AM4</t>
  </si>
  <si>
    <t>Nubank</t>
  </si>
  <si>
    <t>32d86ecc</t>
  </si>
  <si>
    <t>consigno de mas</t>
  </si>
  <si>
    <t>AM5</t>
  </si>
  <si>
    <t>AM6</t>
  </si>
  <si>
    <t>AM7</t>
  </si>
  <si>
    <t>AM8</t>
  </si>
  <si>
    <t>AM9</t>
  </si>
  <si>
    <t>AM10</t>
  </si>
  <si>
    <t>AM11</t>
  </si>
  <si>
    <t>AM12</t>
  </si>
  <si>
    <t>Mes Abonado</t>
  </si>
  <si>
    <t>AM13</t>
  </si>
  <si>
    <t>AM14</t>
  </si>
  <si>
    <t>AM15</t>
  </si>
  <si>
    <t>AM16</t>
  </si>
  <si>
    <t>814113</t>
  </si>
  <si>
    <t>AM17</t>
  </si>
  <si>
    <t>AM18</t>
  </si>
  <si>
    <t>AM19</t>
  </si>
  <si>
    <t>AM20</t>
  </si>
  <si>
    <t>AM21</t>
  </si>
  <si>
    <t>AM22</t>
  </si>
  <si>
    <t>AM23</t>
  </si>
  <si>
    <t>AM24</t>
  </si>
  <si>
    <t>AM25</t>
  </si>
  <si>
    <t>AM26</t>
  </si>
  <si>
    <t>AM27</t>
  </si>
  <si>
    <t>AM28</t>
  </si>
  <si>
    <t>AM29</t>
  </si>
  <si>
    <t>Daviplata</t>
  </si>
  <si>
    <t>6752</t>
  </si>
  <si>
    <t>00339157</t>
  </si>
  <si>
    <t>AM30</t>
  </si>
  <si>
    <t>0000051542</t>
  </si>
  <si>
    <t>AM31</t>
  </si>
  <si>
    <t>e70b66fc</t>
  </si>
  <si>
    <t>AM32</t>
  </si>
  <si>
    <t>81e0beda</t>
  </si>
  <si>
    <t>AM33</t>
  </si>
  <si>
    <t>AM34</t>
  </si>
  <si>
    <t>GNB Sudameris</t>
  </si>
  <si>
    <t>AM35</t>
  </si>
  <si>
    <t>AM36</t>
  </si>
  <si>
    <t>AM37</t>
  </si>
  <si>
    <t>Nequi</t>
  </si>
  <si>
    <t>AM38</t>
  </si>
  <si>
    <t>AM39</t>
  </si>
  <si>
    <t>AM40</t>
  </si>
  <si>
    <t>4909ee69</t>
  </si>
  <si>
    <t>AM41</t>
  </si>
  <si>
    <t>Scotiabank</t>
  </si>
  <si>
    <t>AM42</t>
  </si>
  <si>
    <t>0b8b5a74</t>
  </si>
  <si>
    <t>AM43</t>
  </si>
  <si>
    <t>b6c5c693</t>
  </si>
  <si>
    <t>AM44</t>
  </si>
  <si>
    <t>AM45</t>
  </si>
  <si>
    <t>0f257691</t>
  </si>
  <si>
    <t>AM46</t>
  </si>
  <si>
    <t>AM47</t>
  </si>
  <si>
    <t>Año Abonado</t>
  </si>
  <si>
    <t>Mes pago</t>
  </si>
  <si>
    <t xml:space="preserve">Año pago </t>
  </si>
  <si>
    <t>AM48</t>
  </si>
  <si>
    <t>Pago hasta Junio</t>
  </si>
  <si>
    <t>AM49</t>
  </si>
  <si>
    <t>AM50</t>
  </si>
  <si>
    <t>AM51</t>
  </si>
  <si>
    <t>AM52</t>
  </si>
  <si>
    <t>AM53</t>
  </si>
  <si>
    <t>AM54</t>
  </si>
  <si>
    <t>AM55</t>
  </si>
  <si>
    <t>AM56</t>
  </si>
  <si>
    <t>AM57</t>
  </si>
  <si>
    <t>AM58</t>
  </si>
  <si>
    <t>AM59</t>
  </si>
  <si>
    <t>c2175b2e</t>
  </si>
  <si>
    <t>AM60</t>
  </si>
  <si>
    <t>AM61</t>
  </si>
  <si>
    <t>67aa1319</t>
  </si>
  <si>
    <t>VED227</t>
  </si>
  <si>
    <t>AM62</t>
  </si>
  <si>
    <t>AM63</t>
  </si>
  <si>
    <t>AM64</t>
  </si>
  <si>
    <t>AM65</t>
  </si>
  <si>
    <t>AM66</t>
  </si>
  <si>
    <t xml:space="preserve">Penalizacion </t>
  </si>
  <si>
    <t>NO</t>
  </si>
  <si>
    <t xml:space="preserve">Dias Penalizacion </t>
  </si>
  <si>
    <t>Valor a Penalizar</t>
  </si>
  <si>
    <t>Valor Ahorrado</t>
  </si>
  <si>
    <t>AM67</t>
  </si>
  <si>
    <t>AM68</t>
  </si>
  <si>
    <t>AM69</t>
  </si>
  <si>
    <t>SI</t>
  </si>
  <si>
    <t>4A5799AF</t>
  </si>
  <si>
    <t>AM70</t>
  </si>
  <si>
    <t>AM71</t>
  </si>
  <si>
    <t>AM72</t>
  </si>
  <si>
    <t>AM73</t>
  </si>
  <si>
    <t>AM74</t>
  </si>
  <si>
    <t>AM75</t>
  </si>
  <si>
    <t>AM76</t>
  </si>
  <si>
    <t>AM77</t>
  </si>
  <si>
    <t>AM78</t>
  </si>
  <si>
    <t>AM79</t>
  </si>
  <si>
    <t>AM80</t>
  </si>
  <si>
    <t>e3dcca30</t>
  </si>
  <si>
    <t>AM81</t>
  </si>
  <si>
    <t>90f1e641</t>
  </si>
  <si>
    <t>AM82</t>
  </si>
  <si>
    <t>AM83</t>
  </si>
  <si>
    <t>42984</t>
  </si>
  <si>
    <t>AM84</t>
  </si>
  <si>
    <t>97d820456d1d</t>
  </si>
  <si>
    <t>AM85</t>
  </si>
  <si>
    <t>5cf7ea08e549</t>
  </si>
  <si>
    <t>AM86</t>
  </si>
  <si>
    <t>4118</t>
  </si>
  <si>
    <t>00008723</t>
  </si>
  <si>
    <t>AM87</t>
  </si>
  <si>
    <t>AM88</t>
  </si>
  <si>
    <t>Ahorro Adicional</t>
  </si>
  <si>
    <t xml:space="preserve">Ahorro Adicional </t>
  </si>
  <si>
    <t>AM89</t>
  </si>
  <si>
    <t>AM90</t>
  </si>
  <si>
    <t>7074bd</t>
  </si>
  <si>
    <t>AM91</t>
  </si>
  <si>
    <t>AM92</t>
  </si>
  <si>
    <t>AM93</t>
  </si>
  <si>
    <t>c8c838</t>
  </si>
  <si>
    <t>AM94</t>
  </si>
  <si>
    <t>AM95</t>
  </si>
  <si>
    <t>AM96</t>
  </si>
  <si>
    <t>S16080495</t>
  </si>
  <si>
    <t>AM97</t>
  </si>
  <si>
    <t>AM98</t>
  </si>
  <si>
    <t>AM99</t>
  </si>
  <si>
    <t>AM100</t>
  </si>
  <si>
    <t>AM101</t>
  </si>
  <si>
    <t>499f9e</t>
  </si>
  <si>
    <t>AM102</t>
  </si>
  <si>
    <t>AM103</t>
  </si>
  <si>
    <t>AM104</t>
  </si>
  <si>
    <t>AM105</t>
  </si>
  <si>
    <t>8,16E32</t>
  </si>
  <si>
    <t>AM106</t>
  </si>
  <si>
    <t>99d39e</t>
  </si>
  <si>
    <t>AM107</t>
  </si>
  <si>
    <t>afa739</t>
  </si>
  <si>
    <t>AM108</t>
  </si>
  <si>
    <t>98a92</t>
  </si>
  <si>
    <t>AM109</t>
  </si>
  <si>
    <t>AM110</t>
  </si>
  <si>
    <t>AM111</t>
  </si>
  <si>
    <t>AM112</t>
  </si>
  <si>
    <t>AM113</t>
  </si>
  <si>
    <t>AM114</t>
  </si>
  <si>
    <t>AM115</t>
  </si>
  <si>
    <t>AM116</t>
  </si>
  <si>
    <t>ae329</t>
  </si>
  <si>
    <t>AM117</t>
  </si>
  <si>
    <t>602ec44</t>
  </si>
  <si>
    <t>AM118</t>
  </si>
  <si>
    <t>AM119</t>
  </si>
  <si>
    <t>AM120</t>
  </si>
  <si>
    <t>AM121</t>
  </si>
  <si>
    <t>AM122</t>
  </si>
  <si>
    <t xml:space="preserve">Pago Adicional </t>
  </si>
  <si>
    <t>AM123</t>
  </si>
  <si>
    <t>AM124</t>
  </si>
  <si>
    <t>AM125</t>
  </si>
  <si>
    <t>AM126</t>
  </si>
  <si>
    <t>AM127</t>
  </si>
  <si>
    <t>AM128</t>
  </si>
  <si>
    <t>AM129</t>
  </si>
  <si>
    <t>AM130</t>
  </si>
  <si>
    <t>AM131</t>
  </si>
  <si>
    <t>AM132</t>
  </si>
  <si>
    <t>AM133</t>
  </si>
  <si>
    <t>AM134</t>
  </si>
  <si>
    <t>AM135</t>
  </si>
  <si>
    <t>AM136</t>
  </si>
  <si>
    <t>AM137</t>
  </si>
  <si>
    <t>AM138</t>
  </si>
  <si>
    <t>AM139</t>
  </si>
  <si>
    <t>AM140</t>
  </si>
  <si>
    <t>AM141</t>
  </si>
  <si>
    <t>AM142</t>
  </si>
  <si>
    <t>AM143</t>
  </si>
  <si>
    <t>AM144</t>
  </si>
  <si>
    <t>AM145</t>
  </si>
  <si>
    <t>da38f</t>
  </si>
  <si>
    <t>AM146</t>
  </si>
  <si>
    <t>4c18c3</t>
  </si>
  <si>
    <t>AM147</t>
  </si>
  <si>
    <t>850b7</t>
  </si>
  <si>
    <t>AM148</t>
  </si>
  <si>
    <t>AM149</t>
  </si>
  <si>
    <t>AM150</t>
  </si>
  <si>
    <t>AM151</t>
  </si>
  <si>
    <t>AM152</t>
  </si>
  <si>
    <t>AM153</t>
  </si>
  <si>
    <t>AM154</t>
  </si>
  <si>
    <t>C3F484C</t>
  </si>
  <si>
    <t>AM155</t>
  </si>
  <si>
    <t>96ec1</t>
  </si>
  <si>
    <t>AM156</t>
  </si>
  <si>
    <t>AM157</t>
  </si>
  <si>
    <t>AM158</t>
  </si>
  <si>
    <t>AM159</t>
  </si>
  <si>
    <t>AM160</t>
  </si>
  <si>
    <t>AM161</t>
  </si>
  <si>
    <t>AM162</t>
  </si>
  <si>
    <t>Etiquetas de fila</t>
  </si>
  <si>
    <t>Total general</t>
  </si>
  <si>
    <t>Suma de Valor Ahorrado</t>
  </si>
  <si>
    <t>Ganancia Proporcional ($)</t>
  </si>
  <si>
    <t>% del Total Ahorrado</t>
  </si>
  <si>
    <t>AM163</t>
  </si>
  <si>
    <t>7d163</t>
  </si>
  <si>
    <t>19a74</t>
  </si>
  <si>
    <t>AM164</t>
  </si>
  <si>
    <t>AM165</t>
  </si>
  <si>
    <t>d0502</t>
  </si>
  <si>
    <t>AM166</t>
  </si>
  <si>
    <t>c9179</t>
  </si>
  <si>
    <t>FINAL</t>
  </si>
  <si>
    <t>APORTES INICIALES</t>
  </si>
  <si>
    <t>TOTAL AHORRADO</t>
  </si>
  <si>
    <t>Ganancias totales</t>
  </si>
  <si>
    <t xml:space="preserve">RENTABILIDAD X SOCIO </t>
  </si>
  <si>
    <t>Etiquetas de columna</t>
  </si>
  <si>
    <t>AM167</t>
  </si>
  <si>
    <t>AM168</t>
  </si>
  <si>
    <t>AM169</t>
  </si>
  <si>
    <t>6c8ee2</t>
  </si>
  <si>
    <t>AM170</t>
  </si>
  <si>
    <t>AM171</t>
  </si>
  <si>
    <t>ff2435</t>
  </si>
  <si>
    <t>AM172</t>
  </si>
  <si>
    <t>AM173</t>
  </si>
  <si>
    <t>649A7</t>
  </si>
  <si>
    <t>AM174</t>
  </si>
  <si>
    <t>AM175</t>
  </si>
  <si>
    <t>AM176</t>
  </si>
  <si>
    <t>AM177</t>
  </si>
  <si>
    <t>AM178</t>
  </si>
  <si>
    <t>AM179</t>
  </si>
  <si>
    <t>AM180</t>
  </si>
  <si>
    <t>AM181</t>
  </si>
  <si>
    <t>AM182</t>
  </si>
  <si>
    <t>AM183</t>
  </si>
  <si>
    <t>AM184</t>
  </si>
  <si>
    <t>7s2cec</t>
  </si>
  <si>
    <t>Abono Adicional</t>
  </si>
  <si>
    <t>AM185</t>
  </si>
  <si>
    <t>5ecae1</t>
  </si>
  <si>
    <t>AM186</t>
  </si>
  <si>
    <t>AM187</t>
  </si>
  <si>
    <t>AM188</t>
  </si>
  <si>
    <t>Pago hasta Septiembre</t>
  </si>
  <si>
    <t>AM189</t>
  </si>
  <si>
    <t>AM190</t>
  </si>
  <si>
    <t>AM191</t>
  </si>
  <si>
    <t>AM192</t>
  </si>
  <si>
    <t>f9d32</t>
  </si>
  <si>
    <t>AM193</t>
  </si>
  <si>
    <t>AM194</t>
  </si>
  <si>
    <t>AM195</t>
  </si>
  <si>
    <t>AM196</t>
  </si>
  <si>
    <t>e59d4</t>
  </si>
  <si>
    <t>AM197</t>
  </si>
  <si>
    <t>9a556</t>
  </si>
  <si>
    <t>AM198</t>
  </si>
  <si>
    <t>AM199</t>
  </si>
  <si>
    <t>AM200</t>
  </si>
  <si>
    <t>AM201</t>
  </si>
  <si>
    <t>AM202</t>
  </si>
  <si>
    <t>c315f77</t>
  </si>
  <si>
    <t>AM203</t>
  </si>
  <si>
    <t>AM204</t>
  </si>
  <si>
    <t>4E71E</t>
  </si>
  <si>
    <t>AM205</t>
  </si>
  <si>
    <t>7AC2B</t>
  </si>
  <si>
    <t>AM206</t>
  </si>
  <si>
    <t>25C84</t>
  </si>
  <si>
    <t>AM207</t>
  </si>
  <si>
    <t>AM208</t>
  </si>
  <si>
    <t>53D92</t>
  </si>
  <si>
    <t>AM209</t>
  </si>
  <si>
    <t>AM210</t>
  </si>
  <si>
    <t>AM211</t>
  </si>
  <si>
    <t>AM212</t>
  </si>
  <si>
    <t>AM213</t>
  </si>
  <si>
    <t>AM214</t>
  </si>
  <si>
    <t>1741D</t>
  </si>
  <si>
    <t>AM215</t>
  </si>
  <si>
    <t>Beatriz</t>
  </si>
  <si>
    <t xml:space="preserve">Tascon </t>
  </si>
  <si>
    <t>AM216</t>
  </si>
  <si>
    <t>AM217</t>
  </si>
  <si>
    <t>Penalizado</t>
  </si>
  <si>
    <t>AM218</t>
  </si>
  <si>
    <t>Ahorro Mensual</t>
  </si>
  <si>
    <t xml:space="preserve">Jesus Vladimir </t>
  </si>
  <si>
    <t>Escobar</t>
  </si>
  <si>
    <t>INICIAL</t>
  </si>
  <si>
    <t>AHORRADO</t>
  </si>
  <si>
    <t>TOTAL</t>
  </si>
  <si>
    <t>PRESTADO</t>
  </si>
  <si>
    <t>SALDO BANCO</t>
  </si>
  <si>
    <t>CUOTAS PAGAS SIN INTERESES</t>
  </si>
  <si>
    <t>INTERESES</t>
  </si>
  <si>
    <t>CUOTAS PAGAS CON INTERESES</t>
  </si>
  <si>
    <t>RENDIMIENTOS CAJITA</t>
  </si>
  <si>
    <t>SALDO EN BANCO</t>
  </si>
  <si>
    <t>CUOTAS PENDIENTES SIN INTERESES</t>
  </si>
  <si>
    <t>CUOTAS PENDIENTES CON INTERESES</t>
  </si>
  <si>
    <t>AM219</t>
  </si>
  <si>
    <t>AM220</t>
  </si>
  <si>
    <t>AM221</t>
  </si>
  <si>
    <t>AM222</t>
  </si>
  <si>
    <t>AM223</t>
  </si>
  <si>
    <t>AM224</t>
  </si>
  <si>
    <t>AM225</t>
  </si>
  <si>
    <t>AM226</t>
  </si>
  <si>
    <t>AM227</t>
  </si>
  <si>
    <t>AM228</t>
  </si>
  <si>
    <t>AM229</t>
  </si>
  <si>
    <t>AM230</t>
  </si>
  <si>
    <t>AM231</t>
  </si>
  <si>
    <t>640d</t>
  </si>
  <si>
    <t>2e00</t>
  </si>
  <si>
    <t>consigno de mas Cuotas Prestamo</t>
  </si>
  <si>
    <t>AM232</t>
  </si>
  <si>
    <t>AM233</t>
  </si>
  <si>
    <t>AM234</t>
  </si>
  <si>
    <t>AM235</t>
  </si>
  <si>
    <t>AM236</t>
  </si>
  <si>
    <t>AM237</t>
  </si>
  <si>
    <t>5ba8</t>
  </si>
  <si>
    <t>d2e1</t>
  </si>
  <si>
    <t>AM238</t>
  </si>
  <si>
    <t>AM239</t>
  </si>
  <si>
    <t>AM240</t>
  </si>
  <si>
    <t>AM241</t>
  </si>
  <si>
    <t xml:space="preserve">Juan Carlos </t>
  </si>
  <si>
    <t>Penalizado Ahorro hasta Diciembre</t>
  </si>
  <si>
    <t>Ahorro hasta Diciembre</t>
  </si>
  <si>
    <t>AM242</t>
  </si>
  <si>
    <t>AM243</t>
  </si>
  <si>
    <t>AM244</t>
  </si>
  <si>
    <t>AM245</t>
  </si>
  <si>
    <t>Jose Antonio</t>
  </si>
  <si>
    <t xml:space="preserve">Guerrero </t>
  </si>
  <si>
    <t>cf96a</t>
  </si>
  <si>
    <t>AM246</t>
  </si>
  <si>
    <t xml:space="preserve">Carolina </t>
  </si>
  <si>
    <t>Caro</t>
  </si>
  <si>
    <t>AM247</t>
  </si>
  <si>
    <t>8cd8</t>
  </si>
  <si>
    <t xml:space="preserve">Nicolas </t>
  </si>
  <si>
    <t>AM248</t>
  </si>
  <si>
    <t>AM249</t>
  </si>
  <si>
    <t>AM250</t>
  </si>
  <si>
    <t xml:space="preserve">Fermin </t>
  </si>
  <si>
    <t>Diaz</t>
  </si>
  <si>
    <t>AM251</t>
  </si>
  <si>
    <t xml:space="preserve">Paola </t>
  </si>
  <si>
    <t xml:space="preserve">Rojas </t>
  </si>
  <si>
    <t>AM252</t>
  </si>
  <si>
    <t>AM253</t>
  </si>
  <si>
    <t>AM254</t>
  </si>
  <si>
    <t xml:space="preserve">Leonardo </t>
  </si>
  <si>
    <t xml:space="preserve">Doris </t>
  </si>
  <si>
    <t xml:space="preserve">Pascuas </t>
  </si>
  <si>
    <t xml:space="preserve">Edward </t>
  </si>
  <si>
    <t>AM255</t>
  </si>
  <si>
    <t>AM256</t>
  </si>
  <si>
    <t>AM257</t>
  </si>
  <si>
    <t>AM258</t>
  </si>
  <si>
    <t xml:space="preserve">Maria Isabel </t>
  </si>
  <si>
    <t>AM259</t>
  </si>
  <si>
    <t>4A0E</t>
  </si>
  <si>
    <t>AM261</t>
  </si>
  <si>
    <t xml:space="preserve">Penalizado </t>
  </si>
  <si>
    <t>RENTABILIDAD ANUAL</t>
  </si>
  <si>
    <t>Concatenar</t>
  </si>
  <si>
    <t>Vladimir EscobarDiaz</t>
  </si>
  <si>
    <t xml:space="preserve">Leonardo Rojas Pascuas </t>
  </si>
  <si>
    <t xml:space="preserve">Xiomara Rojas Pascuas </t>
  </si>
  <si>
    <t xml:space="preserve">LadyTorresPascuas </t>
  </si>
  <si>
    <t>Juan Carlos Tascon Diaz</t>
  </si>
  <si>
    <t xml:space="preserve">Doris Pascuas </t>
  </si>
  <si>
    <t>Laura SanchezRoncancio</t>
  </si>
  <si>
    <t xml:space="preserve">Paola Rojas Pascuas </t>
  </si>
  <si>
    <t>Nicolas EscobarDuran</t>
  </si>
  <si>
    <t>Jesus Vladimir EscobarSandoval</t>
  </si>
  <si>
    <t xml:space="preserve">Edward Rojas Pascuas </t>
  </si>
  <si>
    <t xml:space="preserve">David Camargo </t>
  </si>
  <si>
    <t>Carolina CaroMendoza</t>
  </si>
  <si>
    <t>GimenaTascon Diaz</t>
  </si>
  <si>
    <t>Jose AntonioGuerrero Diaz</t>
  </si>
  <si>
    <t>Maria Isabel DiazChamorro</t>
  </si>
  <si>
    <t>Nicolas AvilaTascon</t>
  </si>
  <si>
    <t>Fermin DiazAlvarez</t>
  </si>
  <si>
    <t xml:space="preserve">BeatrizTascon </t>
  </si>
  <si>
    <t xml:space="preserve">Diana Rojas </t>
  </si>
  <si>
    <t>Total a consignar</t>
  </si>
  <si>
    <t>sin nov y dic</t>
  </si>
  <si>
    <t>DIAM01</t>
  </si>
  <si>
    <t>DIAM02</t>
  </si>
  <si>
    <t>DIAM03</t>
  </si>
  <si>
    <t>DIAM04</t>
  </si>
  <si>
    <t>DIAM05</t>
  </si>
  <si>
    <t>DIAM06</t>
  </si>
  <si>
    <t>DIAM07</t>
  </si>
  <si>
    <t>DIAM08</t>
  </si>
  <si>
    <t>DIAM09</t>
  </si>
  <si>
    <t>DIAM10</t>
  </si>
  <si>
    <t>DIAM11</t>
  </si>
  <si>
    <t>DIAM12</t>
  </si>
  <si>
    <t>DIAM13</t>
  </si>
  <si>
    <t>DIAM14</t>
  </si>
  <si>
    <t>DIAM15</t>
  </si>
  <si>
    <t>DIAM16</t>
  </si>
  <si>
    <t>DIAM17</t>
  </si>
  <si>
    <t>DIAM18</t>
  </si>
  <si>
    <t>DIAM19</t>
  </si>
  <si>
    <t>DIAM20</t>
  </si>
  <si>
    <t>DTIAM01</t>
  </si>
  <si>
    <t xml:space="preserve">Xiomara </t>
  </si>
  <si>
    <t xml:space="preserve">Devolucion Total Intereses Ahorros Mensuales </t>
  </si>
  <si>
    <t>Distribucion Intereses Ahorros Mensuales</t>
  </si>
  <si>
    <t>e2a00</t>
  </si>
  <si>
    <t>DTIAM02</t>
  </si>
  <si>
    <t>OMP144</t>
  </si>
  <si>
    <t>BEC5</t>
  </si>
  <si>
    <t>DTIAM03</t>
  </si>
  <si>
    <t>BB5C</t>
  </si>
  <si>
    <t>DTIAM04</t>
  </si>
  <si>
    <t>D4D9</t>
  </si>
  <si>
    <t>DTIAM05</t>
  </si>
  <si>
    <t>Banco Bogota</t>
  </si>
  <si>
    <t>d7a8</t>
  </si>
  <si>
    <t>DTIAM06</t>
  </si>
  <si>
    <t>daa1</t>
  </si>
  <si>
    <t>DTIAM07</t>
  </si>
  <si>
    <t>c653</t>
  </si>
  <si>
    <t>DTIAM08</t>
  </si>
  <si>
    <t>DTIAM09</t>
  </si>
  <si>
    <t>9d06</t>
  </si>
  <si>
    <t>AM262</t>
  </si>
  <si>
    <t>AM263</t>
  </si>
  <si>
    <t>7D4E</t>
  </si>
  <si>
    <t>AM264</t>
  </si>
  <si>
    <t>AM265</t>
  </si>
  <si>
    <t>AM266</t>
  </si>
  <si>
    <t>AM267</t>
  </si>
  <si>
    <t>AM268</t>
  </si>
  <si>
    <t>AM269</t>
  </si>
  <si>
    <t>AM270</t>
  </si>
  <si>
    <t>AM271</t>
  </si>
  <si>
    <t>AM272</t>
  </si>
  <si>
    <t>AM273</t>
  </si>
  <si>
    <t>AM274</t>
  </si>
  <si>
    <t>AM275</t>
  </si>
  <si>
    <t>AM276</t>
  </si>
  <si>
    <t>52F88</t>
  </si>
  <si>
    <t>AM277</t>
  </si>
  <si>
    <t>AM278</t>
  </si>
  <si>
    <t>AM279</t>
  </si>
  <si>
    <t>AM280</t>
  </si>
  <si>
    <t xml:space="preserve">Laura </t>
  </si>
  <si>
    <t>Sanchez</t>
  </si>
  <si>
    <t>AM281</t>
  </si>
  <si>
    <t>AM282</t>
  </si>
  <si>
    <t>AM283</t>
  </si>
  <si>
    <t>AM284</t>
  </si>
  <si>
    <t xml:space="preserve">Diana </t>
  </si>
  <si>
    <t xml:space="preserve">David </t>
  </si>
  <si>
    <t xml:space="preserve">Camargo </t>
  </si>
  <si>
    <t>Gimena</t>
  </si>
  <si>
    <t>Avila</t>
  </si>
  <si>
    <t>Lady</t>
  </si>
  <si>
    <t>Torres</t>
  </si>
  <si>
    <t xml:space="preserve">Vladimir </t>
  </si>
  <si>
    <t>AM285</t>
  </si>
  <si>
    <t>0c34</t>
  </si>
  <si>
    <t>AM286</t>
  </si>
  <si>
    <t>AM287</t>
  </si>
  <si>
    <t>AM288</t>
  </si>
  <si>
    <t>AM289</t>
  </si>
  <si>
    <t>AM290</t>
  </si>
  <si>
    <t>AM291</t>
  </si>
  <si>
    <t>AM292</t>
  </si>
  <si>
    <t>AM293</t>
  </si>
  <si>
    <t>AM294</t>
  </si>
  <si>
    <t>AM295</t>
  </si>
  <si>
    <t>AM296</t>
  </si>
  <si>
    <t>AM297</t>
  </si>
  <si>
    <t>AM298</t>
  </si>
  <si>
    <t>AM299</t>
  </si>
  <si>
    <t>Miriam</t>
  </si>
  <si>
    <t>AM300</t>
  </si>
  <si>
    <t>57aec</t>
  </si>
  <si>
    <t>AM301</t>
  </si>
  <si>
    <t>AM302</t>
  </si>
  <si>
    <t>ca33</t>
  </si>
  <si>
    <t>AM303</t>
  </si>
  <si>
    <t>AM304</t>
  </si>
  <si>
    <t>e69b</t>
  </si>
  <si>
    <t>AM305</t>
  </si>
  <si>
    <t>AM306</t>
  </si>
  <si>
    <t>0f75</t>
  </si>
  <si>
    <t>(Todas)</t>
  </si>
  <si>
    <t>afec</t>
  </si>
  <si>
    <t xml:space="preserve">Devolucion </t>
  </si>
  <si>
    <t>DE001</t>
  </si>
  <si>
    <t>DE002</t>
  </si>
  <si>
    <t>Se ingresa dinero al fondo</t>
  </si>
  <si>
    <t>Se toma de aportes iniciales</t>
  </si>
  <si>
    <t>AM307</t>
  </si>
  <si>
    <t>Luz Marina</t>
  </si>
  <si>
    <t>AM308</t>
  </si>
  <si>
    <t>AM309</t>
  </si>
  <si>
    <t>AM310</t>
  </si>
  <si>
    <t>AM311</t>
  </si>
  <si>
    <t>AM312</t>
  </si>
  <si>
    <t>AM313</t>
  </si>
  <si>
    <t>AM314</t>
  </si>
  <si>
    <t>Ruth</t>
  </si>
  <si>
    <t>AM315</t>
  </si>
  <si>
    <t>AM316</t>
  </si>
  <si>
    <t>AM317</t>
  </si>
  <si>
    <t>AM318</t>
  </si>
  <si>
    <t>AM319</t>
  </si>
  <si>
    <t>AM320</t>
  </si>
  <si>
    <t>AM321</t>
  </si>
  <si>
    <t>AM322</t>
  </si>
  <si>
    <t>AM323</t>
  </si>
  <si>
    <t>Penalizado Ahorro Enero</t>
  </si>
  <si>
    <t>Saldo Positivo</t>
  </si>
  <si>
    <t>PEN01</t>
  </si>
  <si>
    <t>PEN02</t>
  </si>
  <si>
    <t>PEN03</t>
  </si>
  <si>
    <t>Descuento Total Anual Penalizacion</t>
  </si>
  <si>
    <t>8 Dias Descuentos Penalizacion</t>
  </si>
  <si>
    <t>28 Dias Descuentos Penalizacion</t>
  </si>
  <si>
    <t>12 Dias Descuentos Penalizacion</t>
  </si>
  <si>
    <t>PEN04</t>
  </si>
  <si>
    <t>6 Dias Descuentos Penalizacion</t>
  </si>
  <si>
    <t>PEN05</t>
  </si>
  <si>
    <t>39 Dias Descuentos Penalizacion</t>
  </si>
  <si>
    <t>PEN06</t>
  </si>
  <si>
    <t>PEN07</t>
  </si>
  <si>
    <t>PEN08</t>
  </si>
  <si>
    <t>40 Dias Descuentos Penalizacion</t>
  </si>
  <si>
    <t>AM324</t>
  </si>
  <si>
    <t>AM325</t>
  </si>
  <si>
    <t>AM326</t>
  </si>
  <si>
    <t>(Varios elementos)</t>
  </si>
  <si>
    <t>50fe</t>
  </si>
  <si>
    <t>AM327</t>
  </si>
  <si>
    <t>932b</t>
  </si>
  <si>
    <t>AM328</t>
  </si>
  <si>
    <t>AM329</t>
  </si>
  <si>
    <t>U6EC</t>
  </si>
  <si>
    <t>AM330</t>
  </si>
  <si>
    <t>AM331</t>
  </si>
  <si>
    <t>AM332</t>
  </si>
  <si>
    <t>AM333</t>
  </si>
  <si>
    <t>AM334</t>
  </si>
  <si>
    <t>AM335</t>
  </si>
  <si>
    <t>E89E</t>
  </si>
  <si>
    <t>AM336</t>
  </si>
  <si>
    <t>AM337</t>
  </si>
  <si>
    <t>AM338</t>
  </si>
  <si>
    <t>AM339</t>
  </si>
  <si>
    <t>AM340</t>
  </si>
  <si>
    <t>A146</t>
  </si>
  <si>
    <t>Penalizado Ahorro Febrero</t>
  </si>
  <si>
    <t>AM341</t>
  </si>
  <si>
    <t>AM342</t>
  </si>
  <si>
    <t>AM343</t>
  </si>
  <si>
    <t>5</t>
  </si>
  <si>
    <t>Juan Carlos</t>
  </si>
  <si>
    <t>Tascon</t>
  </si>
  <si>
    <t>18-02-2026</t>
  </si>
  <si>
    <t>3</t>
  </si>
  <si>
    <t>54105</t>
  </si>
  <si>
    <t>N/A</t>
  </si>
  <si>
    <t/>
  </si>
  <si>
    <t>AM344</t>
  </si>
  <si>
    <t>AM345</t>
  </si>
  <si>
    <t>13</t>
  </si>
  <si>
    <t>Carolina</t>
  </si>
  <si>
    <t>05-03-2026</t>
  </si>
  <si>
    <t>Nubank (NU)</t>
  </si>
  <si>
    <t>141F</t>
  </si>
  <si>
    <t>AM346</t>
  </si>
  <si>
    <t>22</t>
  </si>
  <si>
    <t>Rojas</t>
  </si>
  <si>
    <t>Scotiabank Colpatria</t>
  </si>
  <si>
    <t>1085</t>
  </si>
  <si>
    <t>0487</t>
  </si>
  <si>
    <t>AM347</t>
  </si>
  <si>
    <t>Xiomara</t>
  </si>
  <si>
    <t>7229</t>
  </si>
  <si>
    <t>2014</t>
  </si>
  <si>
    <t>AM348</t>
  </si>
  <si>
    <t>9</t>
  </si>
  <si>
    <t>Nicolas</t>
  </si>
  <si>
    <t>Banco de Bogotá</t>
  </si>
  <si>
    <t>0242</t>
  </si>
  <si>
    <t>6048</t>
  </si>
  <si>
    <t>AM349</t>
  </si>
  <si>
    <t>6</t>
  </si>
  <si>
    <t>Doris</t>
  </si>
  <si>
    <t>Pascuas</t>
  </si>
  <si>
    <t>Banco GNB Sudameris</t>
  </si>
  <si>
    <t>6693</t>
  </si>
  <si>
    <t>8600</t>
  </si>
  <si>
    <t>AM350</t>
  </si>
  <si>
    <t>21</t>
  </si>
  <si>
    <t>6723</t>
  </si>
  <si>
    <t>AM351</t>
  </si>
  <si>
    <t>10</t>
  </si>
  <si>
    <t>Jesus Vladimir</t>
  </si>
  <si>
    <t>AM352</t>
  </si>
  <si>
    <t>8</t>
  </si>
  <si>
    <t>Paola</t>
  </si>
  <si>
    <t>55f7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</si>
</sst>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  <numFmt numFmtId="166" formatCode="0.0%"/>
    <numFmt numFmtId="167" formatCode="&quot;$&quot;\ #,##0.00"/>
    <numFmt numFmtId="168" formatCode="&quot;$&quot;\ #,##0.0"/>
    <numFmt numFmtId="169" formatCode="&quot;$&quot;#,##0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5" fillId="0" borderId="0" applyFill="0" applyBorder="0" applyProtection="0">
      <alignment horizontal="left" wrapText="1"/>
    </xf>
    <xf numFmtId="0" fontId="2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4" fillId="2" borderId="0" xfId="1" applyNumberFormat="1" applyFont="1" applyFill="1" applyAlignment="1">
      <alignment horizontal="center" vertical="center"/>
    </xf>
    <xf numFmtId="14" fontId="4" fillId="2" borderId="0" xfId="1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4" fontId="0" fillId="0" borderId="0" xfId="0" applyNumberFormat="1"/>
    <xf numFmtId="9" fontId="0" fillId="0" borderId="0" xfId="5" applyFont="1"/>
    <xf numFmtId="165" fontId="0" fillId="0" borderId="0" xfId="4" applyNumberFormat="1" applyFont="1"/>
    <xf numFmtId="44" fontId="0" fillId="0" borderId="0" xfId="4" applyFont="1"/>
    <xf numFmtId="0" fontId="8" fillId="0" borderId="0" xfId="0" applyFont="1"/>
    <xf numFmtId="164" fontId="8" fillId="0" borderId="0" xfId="0" applyNumberFormat="1" applyFont="1"/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8" fillId="0" borderId="0" xfId="0" pivotButton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0" xfId="4" applyFont="1"/>
    <xf numFmtId="166" fontId="10" fillId="6" borderId="0" xfId="5" applyNumberFormat="1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166" fontId="8" fillId="0" borderId="0" xfId="5" applyNumberFormat="1" applyFont="1" applyAlignment="1">
      <alignment horizontal="center" vertical="center"/>
    </xf>
    <xf numFmtId="166" fontId="11" fillId="3" borderId="0" xfId="5" applyNumberFormat="1" applyFont="1" applyFill="1" applyAlignment="1">
      <alignment horizontal="center"/>
    </xf>
    <xf numFmtId="9" fontId="8" fillId="0" borderId="0" xfId="5" applyFont="1"/>
    <xf numFmtId="166" fontId="8" fillId="0" borderId="0" xfId="5" applyNumberFormat="1" applyFont="1" applyAlignment="1">
      <alignment horizontal="center"/>
    </xf>
    <xf numFmtId="164" fontId="11" fillId="7" borderId="1" xfId="0" applyNumberFormat="1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44" fontId="0" fillId="0" borderId="0" xfId="4" applyFont="1" applyAlignment="1">
      <alignment horizontal="center"/>
    </xf>
    <xf numFmtId="0" fontId="1" fillId="0" borderId="0" xfId="6"/>
    <xf numFmtId="167" fontId="1" fillId="0" borderId="0" xfId="6" applyNumberFormat="1"/>
    <xf numFmtId="44" fontId="0" fillId="0" borderId="0" xfId="7" applyFont="1"/>
    <xf numFmtId="44" fontId="1" fillId="0" borderId="0" xfId="6" applyNumberFormat="1"/>
    <xf numFmtId="10" fontId="11" fillId="3" borderId="0" xfId="5" applyNumberFormat="1" applyFon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168" fontId="8" fillId="0" borderId="0" xfId="0" applyNumberFormat="1" applyFont="1"/>
    <xf numFmtId="10" fontId="8" fillId="0" borderId="0" xfId="0" applyNumberFormat="1" applyFont="1"/>
    <xf numFmtId="166" fontId="0" fillId="0" borderId="0" xfId="5" applyNumberFormat="1" applyFont="1"/>
    <xf numFmtId="167" fontId="0" fillId="0" borderId="0" xfId="0" applyNumberFormat="1" applyAlignment="1">
      <alignment horizontal="center"/>
    </xf>
    <xf numFmtId="166" fontId="0" fillId="0" borderId="2" xfId="5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12" fillId="11" borderId="0" xfId="0" applyNumberFormat="1" applyFont="1" applyFill="1" applyAlignment="1">
      <alignment horizontal="center"/>
    </xf>
    <xf numFmtId="166" fontId="12" fillId="11" borderId="2" xfId="5" applyNumberFormat="1" applyFont="1" applyFill="1" applyBorder="1" applyAlignment="1">
      <alignment horizontal="center"/>
    </xf>
    <xf numFmtId="167" fontId="12" fillId="11" borderId="2" xfId="0" applyNumberFormat="1" applyFont="1" applyFill="1" applyBorder="1" applyAlignment="1">
      <alignment horizontal="center"/>
    </xf>
    <xf numFmtId="165" fontId="0" fillId="0" borderId="2" xfId="4" applyNumberFormat="1" applyFont="1" applyBorder="1"/>
    <xf numFmtId="166" fontId="0" fillId="0" borderId="0" xfId="5" applyNumberFormat="1" applyFont="1" applyAlignment="1">
      <alignment horizontal="center"/>
    </xf>
    <xf numFmtId="164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</cellXfs>
  <cellStyles count="8">
    <cellStyle name="Actividad" xfId="2" xr:uid="{4602AD21-8DDF-498D-828F-1F24CE28ED17}"/>
    <cellStyle name="Moneda" xfId="4" builtinId="4"/>
    <cellStyle name="Moneda 2" xfId="7" xr:uid="{EA07F227-1E22-4A1D-89F8-9D5E29FD2DFF}"/>
    <cellStyle name="Normal" xfId="0" builtinId="0"/>
    <cellStyle name="Normal 2" xfId="3" xr:uid="{5D665969-A9F0-41CD-8C58-D7C736B4AED1}"/>
    <cellStyle name="Normal 3" xfId="6" xr:uid="{223A7994-C841-4BC1-B5F2-C3B6AB994D03}"/>
    <cellStyle name="Normal 8" xfId="1" xr:uid="{F4EE9B49-2B36-4BD5-B732-7932F9B6391A}"/>
    <cellStyle name="Porcentaje" xfId="5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\ #,##0"/>
    </dxf>
    <dxf>
      <numFmt numFmtId="164" formatCode="&quot;$&quot;\ #,##0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\ #,##0"/>
    </dxf>
    <dxf>
      <numFmt numFmtId="164" formatCode="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447675</xdr:colOff>
      <xdr:row>34</xdr:row>
      <xdr:rowOff>66675</xdr:rowOff>
    </xdr:from>
    <xdr:to>
      <xdr:col>18</xdr:col>
      <xdr:colOff>295275</xdr:colOff>
      <xdr:row>44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pago">
              <a:extLst>
                <a:ext uri="{FF2B5EF4-FFF2-40B4-BE49-F238E27FC236}">
                  <a16:creationId xmlns:a16="http://schemas.microsoft.com/office/drawing/2014/main" id="{624F533A-1943-83E1-EA96-3D81222A3B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69150" y="8115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imir Escobar Diaz" refreshedDate="46053.51105833333" createdVersion="8" refreshedVersion="8" minRefreshableVersion="3" recordCount="365" xr:uid="{0EFFCD59-B17E-46F9-9DC3-82A83F8DFC56}">
  <cacheSource type="worksheet">
    <worksheetSource ref="A1:U1048576" sheet="Ahorro"/>
  </cacheSource>
  <cacheFields count="21">
    <cacheField name="Id_VM" numFmtId="0">
      <sharedItems containsBlank="1"/>
    </cacheField>
    <cacheField name="Customer_id" numFmtId="0">
      <sharedItems containsString="0" containsBlank="1" containsNumber="1" containsInteger="1" minValue="1" maxValue="23" count="24">
        <n v="9"/>
        <n v="5"/>
        <n v="14"/>
        <n v="17"/>
        <n v="10"/>
        <n v="2"/>
        <n v="6"/>
        <n v="21"/>
        <n v="3"/>
        <n v="23"/>
        <n v="19"/>
        <n v="13"/>
        <n v="12"/>
        <n v="20"/>
        <n v="4"/>
        <n v="7"/>
        <n v="16"/>
        <n v="22"/>
        <n v="1"/>
        <n v="8"/>
        <n v="18"/>
        <n v="15"/>
        <n v="11"/>
        <m/>
      </sharedItems>
    </cacheField>
    <cacheField name="Nombre" numFmtId="0">
      <sharedItems containsBlank="1"/>
    </cacheField>
    <cacheField name="Apellido" numFmtId="0">
      <sharedItems containsBlank="1"/>
    </cacheField>
    <cacheField name="Estado" numFmtId="0">
      <sharedItems containsBlank="1"/>
    </cacheField>
    <cacheField name="Fecha Pago" numFmtId="14">
      <sharedItems containsNonDate="0" containsDate="1" containsString="0" containsBlank="1" minDate="2024-02-21T00:00:00" maxDate="2026-01-30T00:00:00"/>
    </cacheField>
    <cacheField name="Año pago " numFmtId="0">
      <sharedItems containsString="0" containsBlank="1" containsNumber="1" containsInteger="1" minValue="2024" maxValue="2026" count="4">
        <n v="2026"/>
        <n v="2025"/>
        <n v="2024"/>
        <m/>
      </sharedItems>
    </cacheField>
    <cacheField name="Mes pago" numFmtId="0">
      <sharedItems containsBlank="1" count="13">
        <s v="Febrero"/>
        <s v="Enero"/>
        <s v="Marzo"/>
        <s v="Abril"/>
        <s v="Mayo"/>
        <s v="Junio"/>
        <s v="Julio"/>
        <s v="Agosto"/>
        <s v="Septiembre"/>
        <s v="Octubre"/>
        <s v="Noviembre"/>
        <s v="Diciembre"/>
        <m/>
      </sharedItems>
    </cacheField>
    <cacheField name="Penalizacion " numFmtId="0">
      <sharedItems containsBlank="1"/>
    </cacheField>
    <cacheField name="Dias Penalizacion " numFmtId="0">
      <sharedItems containsString="0" containsBlank="1" containsNumber="1" containsInteger="1" minValue="0" maxValue="4"/>
    </cacheField>
    <cacheField name="Valor Mensual" numFmtId="164">
      <sharedItems containsString="0" containsBlank="1" containsNumber="1" minValue="-5596696" maxValue="1500000"/>
    </cacheField>
    <cacheField name="Valor a Penalizar" numFmtId="164">
      <sharedItems containsString="0" containsBlank="1" containsNumber="1" containsInteger="1" minValue="0" maxValue="4000"/>
    </cacheField>
    <cacheField name="Valor Ahorrado" numFmtId="164">
      <sharedItems containsString="0" containsBlank="1" containsNumber="1" minValue="-5596696" maxValue="1500000"/>
    </cacheField>
    <cacheField name="Mes Abonado" numFmtId="1">
      <sharedItems containsString="0" containsBlank="1" containsNumber="1" containsInteger="1" minValue="1" maxValue="12"/>
    </cacheField>
    <cacheField name="Año Abonado" numFmtId="1">
      <sharedItems containsString="0" containsBlank="1" containsNumber="1" containsInteger="1" minValue="2025" maxValue="2026"/>
    </cacheField>
    <cacheField name="Item_Quantity" numFmtId="0">
      <sharedItems containsString="0" containsBlank="1" containsNumber="1" containsInteger="1" minValue="1" maxValue="1"/>
    </cacheField>
    <cacheField name="Banco " numFmtId="0">
      <sharedItems containsBlank="1"/>
    </cacheField>
    <cacheField name="# Transaccion" numFmtId="0">
      <sharedItems containsBlank="1" containsMixedTypes="1" containsNumber="1" containsInteger="1" minValue="1" maxValue="174196893193700"/>
    </cacheField>
    <cacheField name="Desde Cuenta de Ahorros" numFmtId="0">
      <sharedItems containsBlank="1" containsMixedTypes="1" containsNumber="1" containsInteger="1" minValue="2014" maxValue="9763"/>
    </cacheField>
    <cacheField name="Tipo de Ahorro" numFmtId="0">
      <sharedItems containsBlank="1"/>
    </cacheField>
    <cacheField name="Observaciones" numFmtId="0">
      <sharedItems containsBlank="1" containsMixedTypes="1" containsNumber="1" minValue="9.3761477445687153E-3" maxValue="0.13123941181787424"/>
    </cacheField>
  </cacheFields>
  <extLst>
    <ext xmlns:x14="http://schemas.microsoft.com/office/spreadsheetml/2009/9/main" uri="{725AE2AE-9491-48be-B2B4-4EB974FC3084}">
      <x14:pivotCacheDefinition pivotCacheId="3266688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AM326"/>
    <x v="0"/>
    <s v="Nicolas "/>
    <s v="Escobar"/>
    <s v="Abono"/>
    <d v="2026-01-29T00:00:00"/>
    <x v="0"/>
    <x v="0"/>
    <s v="NO"/>
    <n v="0"/>
    <n v="500000"/>
    <n v="0"/>
    <n v="500000"/>
    <n v="2"/>
    <n v="2026"/>
    <n v="1"/>
    <s v="Banco Bogota"/>
    <n v="2915"/>
    <m/>
    <s v="Mensual"/>
    <m/>
  </r>
  <r>
    <s v="AM325"/>
    <x v="1"/>
    <s v="Juan Carlos "/>
    <s v="Tascon "/>
    <s v="Abono"/>
    <d v="2026-01-24T00:00:00"/>
    <x v="0"/>
    <x v="0"/>
    <s v="NO"/>
    <n v="0"/>
    <n v="50000"/>
    <n v="0"/>
    <n v="50000"/>
    <n v="2"/>
    <n v="2026"/>
    <n v="1"/>
    <s v="Nequi"/>
    <n v="2982"/>
    <m/>
    <s v="Mensual"/>
    <m/>
  </r>
  <r>
    <s v="AM324"/>
    <x v="1"/>
    <s v="Juan Carlos "/>
    <s v="Tascon "/>
    <s v="Abono"/>
    <d v="2026-01-24T00:00:00"/>
    <x v="0"/>
    <x v="1"/>
    <s v="NO"/>
    <n v="0"/>
    <n v="250000"/>
    <n v="0"/>
    <n v="250000"/>
    <n v="1"/>
    <n v="2026"/>
    <n v="1"/>
    <s v="Nequi"/>
    <n v="2982"/>
    <m/>
    <s v="Mensual"/>
    <s v="Abono Adicional"/>
  </r>
  <r>
    <s v="AM323"/>
    <x v="2"/>
    <s v="Gimena"/>
    <s v="Tascon "/>
    <s v="Abono"/>
    <d v="2026-01-14T00:00:00"/>
    <x v="0"/>
    <x v="2"/>
    <s v="NO"/>
    <n v="0"/>
    <n v="50000"/>
    <n v="0"/>
    <n v="50000"/>
    <n v="3"/>
    <n v="2026"/>
    <n v="1"/>
    <s v="Bancolombia"/>
    <n v="13611"/>
    <n v="8083"/>
    <s v="Mensual"/>
    <m/>
  </r>
  <r>
    <s v="AM322"/>
    <x v="2"/>
    <s v="Gimena"/>
    <s v="Tascon "/>
    <s v="Abono"/>
    <d v="2026-01-14T00:00:00"/>
    <x v="0"/>
    <x v="0"/>
    <s v="NO"/>
    <n v="0"/>
    <n v="50000"/>
    <n v="0"/>
    <n v="50000"/>
    <n v="2"/>
    <n v="2026"/>
    <n v="1"/>
    <s v="Bancolombia"/>
    <n v="13611"/>
    <n v="8083"/>
    <s v="Mensual"/>
    <m/>
  </r>
  <r>
    <s v="AM321"/>
    <x v="2"/>
    <s v="Gimena"/>
    <s v="Tascon "/>
    <s v="Abono"/>
    <d v="2026-01-14T00:00:00"/>
    <x v="0"/>
    <x v="1"/>
    <s v="SI"/>
    <n v="4"/>
    <n v="50000"/>
    <n v="4000"/>
    <n v="46000"/>
    <n v="1"/>
    <n v="2026"/>
    <n v="1"/>
    <s v="Bancolombia"/>
    <n v="13611"/>
    <n v="8083"/>
    <s v="Mensual"/>
    <s v="Penalizado Ahorro Enero"/>
  </r>
  <r>
    <s v="AM320"/>
    <x v="3"/>
    <s v="Nicolas "/>
    <s v="Avila"/>
    <s v="Abono"/>
    <d v="2026-01-14T00:00:00"/>
    <x v="0"/>
    <x v="2"/>
    <s v="NO"/>
    <n v="0"/>
    <n v="50000"/>
    <n v="0"/>
    <n v="50000"/>
    <n v="3"/>
    <n v="2026"/>
    <n v="1"/>
    <s v="Bancolombia"/>
    <n v="13611"/>
    <n v="8083"/>
    <s v="Mensual"/>
    <m/>
  </r>
  <r>
    <s v="AM319"/>
    <x v="3"/>
    <s v="Nicolas "/>
    <s v="Avila"/>
    <s v="Abono"/>
    <d v="2026-01-14T00:00:00"/>
    <x v="0"/>
    <x v="0"/>
    <s v="NO"/>
    <n v="0"/>
    <n v="50000"/>
    <n v="0"/>
    <n v="50000"/>
    <n v="2"/>
    <n v="2026"/>
    <n v="1"/>
    <s v="Bancolombia"/>
    <n v="13611"/>
    <n v="8083"/>
    <s v="Mensual"/>
    <m/>
  </r>
  <r>
    <s v="AM318"/>
    <x v="3"/>
    <s v="Nicolas "/>
    <s v="Avila"/>
    <s v="Abono"/>
    <d v="2026-01-14T00:00:00"/>
    <x v="0"/>
    <x v="1"/>
    <s v="SI"/>
    <n v="4"/>
    <n v="50000"/>
    <n v="4000"/>
    <n v="46000"/>
    <n v="1"/>
    <n v="2026"/>
    <n v="1"/>
    <s v="Bancolombia"/>
    <n v="13611"/>
    <n v="8083"/>
    <s v="Mensual"/>
    <s v="Penalizado Ahorro Enero"/>
  </r>
  <r>
    <s v="AM317"/>
    <x v="4"/>
    <s v="Jesus Vladimir "/>
    <s v="Escobar"/>
    <s v="Abono"/>
    <d v="2026-01-14T00:00:00"/>
    <x v="0"/>
    <x v="1"/>
    <s v="NO"/>
    <n v="0"/>
    <n v="100000"/>
    <n v="0"/>
    <n v="100000"/>
    <n v="1"/>
    <n v="2026"/>
    <n v="1"/>
    <s v="Banco Bogota"/>
    <n v="9335"/>
    <m/>
    <s v="Mensual"/>
    <m/>
  </r>
  <r>
    <s v="AM316"/>
    <x v="5"/>
    <s v="Leonardo "/>
    <s v="Rojas "/>
    <s v="Abono"/>
    <d v="2026-01-08T00:00:00"/>
    <x v="0"/>
    <x v="1"/>
    <s v="NO"/>
    <n v="0"/>
    <n v="100000"/>
    <n v="0"/>
    <n v="100000"/>
    <n v="1"/>
    <n v="2026"/>
    <n v="1"/>
    <s v="GNB Sudameris"/>
    <n v="6268"/>
    <n v="8600"/>
    <s v="Mensual"/>
    <m/>
  </r>
  <r>
    <s v="AM315"/>
    <x v="6"/>
    <s v="Doris "/>
    <s v="Pascuas "/>
    <s v="Abono"/>
    <d v="2026-01-08T00:00:00"/>
    <x v="0"/>
    <x v="1"/>
    <s v="NO"/>
    <n v="0"/>
    <n v="50000"/>
    <n v="0"/>
    <n v="50000"/>
    <n v="1"/>
    <n v="2026"/>
    <n v="1"/>
    <s v="GNB Sudameris"/>
    <n v="6211"/>
    <n v="8600"/>
    <s v="Mensual"/>
    <m/>
  </r>
  <r>
    <s v="AM314"/>
    <x v="7"/>
    <s v="Ruth"/>
    <s v="Rojas "/>
    <s v="Abono"/>
    <d v="2026-01-08T00:00:00"/>
    <x v="0"/>
    <x v="1"/>
    <s v="NO"/>
    <n v="0"/>
    <n v="50000"/>
    <n v="0"/>
    <n v="50000"/>
    <n v="1"/>
    <n v="2026"/>
    <n v="1"/>
    <s v="GNB Sudameris"/>
    <n v="6173"/>
    <n v="8600"/>
    <s v="Mensual"/>
    <m/>
  </r>
  <r>
    <s v="AM313"/>
    <x v="8"/>
    <s v="Xiomara "/>
    <s v="Rojas "/>
    <s v="Abono"/>
    <d v="2026-01-06T00:00:00"/>
    <x v="0"/>
    <x v="1"/>
    <s v="NO"/>
    <n v="0"/>
    <n v="1000000"/>
    <n v="0"/>
    <n v="1000000"/>
    <n v="1"/>
    <n v="2026"/>
    <n v="1"/>
    <s v="Scotiabank"/>
    <n v="7591"/>
    <n v="2014"/>
    <s v="Mensual"/>
    <s v="Abono Adicional"/>
  </r>
  <r>
    <s v="AM312"/>
    <x v="8"/>
    <s v="Xiomara "/>
    <s v="Rojas "/>
    <s v="Abono"/>
    <d v="2026-01-06T00:00:00"/>
    <x v="0"/>
    <x v="1"/>
    <s v="NO"/>
    <n v="0"/>
    <n v="100000"/>
    <n v="0"/>
    <n v="100000"/>
    <n v="1"/>
    <n v="2026"/>
    <n v="1"/>
    <s v="Scotiabank"/>
    <n v="7591"/>
    <n v="2014"/>
    <s v="Mensual"/>
    <m/>
  </r>
  <r>
    <s v="AM311"/>
    <x v="0"/>
    <s v="Nicolas "/>
    <s v="Escobar"/>
    <s v="Abono"/>
    <d v="2026-01-06T00:00:00"/>
    <x v="0"/>
    <x v="1"/>
    <s v="NO"/>
    <n v="0"/>
    <n v="500000"/>
    <n v="0"/>
    <n v="500000"/>
    <n v="1"/>
    <n v="2026"/>
    <n v="1"/>
    <s v="Banco Bogota"/>
    <n v="2570"/>
    <m/>
    <s v="Mensual"/>
    <m/>
  </r>
  <r>
    <s v="AM310"/>
    <x v="9"/>
    <s v="Luz Marina"/>
    <s v="Diaz"/>
    <s v="Abono"/>
    <d v="2026-01-06T00:00:00"/>
    <x v="0"/>
    <x v="3"/>
    <s v="NO"/>
    <n v="0"/>
    <n v="50000"/>
    <n v="0"/>
    <n v="50000"/>
    <n v="4"/>
    <n v="2026"/>
    <n v="1"/>
    <s v="Nequi"/>
    <n v="416"/>
    <m/>
    <s v="Mensual"/>
    <m/>
  </r>
  <r>
    <s v="AM309"/>
    <x v="9"/>
    <s v="Luz Marina"/>
    <s v="Diaz"/>
    <s v="Abono"/>
    <d v="2026-01-06T00:00:00"/>
    <x v="0"/>
    <x v="2"/>
    <s v="NO"/>
    <n v="0"/>
    <n v="50000"/>
    <n v="0"/>
    <n v="50000"/>
    <n v="3"/>
    <n v="2026"/>
    <n v="1"/>
    <s v="Nequi"/>
    <n v="416"/>
    <m/>
    <s v="Mensual"/>
    <m/>
  </r>
  <r>
    <s v="AM308"/>
    <x v="9"/>
    <s v="Luz Marina"/>
    <s v="Diaz"/>
    <s v="Abono"/>
    <d v="2026-01-06T00:00:00"/>
    <x v="0"/>
    <x v="0"/>
    <s v="NO"/>
    <n v="0"/>
    <n v="50000"/>
    <n v="0"/>
    <n v="50000"/>
    <n v="2"/>
    <n v="2026"/>
    <n v="1"/>
    <s v="Nequi"/>
    <n v="416"/>
    <m/>
    <s v="Mensual"/>
    <m/>
  </r>
  <r>
    <s v="AM307"/>
    <x v="9"/>
    <s v="Luz Marina"/>
    <s v="Diaz"/>
    <s v="Abono"/>
    <d v="2026-01-06T00:00:00"/>
    <x v="0"/>
    <x v="1"/>
    <s v="NO"/>
    <n v="0"/>
    <n v="50000"/>
    <n v="0"/>
    <n v="50000"/>
    <n v="1"/>
    <n v="2026"/>
    <n v="1"/>
    <s v="Nequi"/>
    <n v="416"/>
    <m/>
    <s v="Mensual"/>
    <m/>
  </r>
  <r>
    <s v="AM300"/>
    <x v="10"/>
    <s v="Beatriz"/>
    <s v="Tascon "/>
    <s v="Devolucion "/>
    <d v="2026-01-05T00:00:00"/>
    <x v="0"/>
    <x v="1"/>
    <s v="NO"/>
    <n v="0"/>
    <n v="50000"/>
    <n v="0"/>
    <n v="50000"/>
    <n v="1"/>
    <n v="2026"/>
    <n v="1"/>
    <s v="Bancolombia"/>
    <s v="57aec"/>
    <n v="6852"/>
    <s v="Mensual"/>
    <s v="Se ingresa dinero al fondo"/>
  </r>
  <r>
    <s v="AM301"/>
    <x v="10"/>
    <s v="Beatriz"/>
    <s v="Tascon "/>
    <s v="Devolucion "/>
    <d v="2026-01-05T00:00:00"/>
    <x v="0"/>
    <x v="0"/>
    <s v="NO"/>
    <n v="0"/>
    <n v="50000"/>
    <n v="0"/>
    <n v="50000"/>
    <n v="2"/>
    <n v="2026"/>
    <n v="1"/>
    <s v="Bancolombia"/>
    <s v="57aec"/>
    <n v="6852"/>
    <s v="Mensual"/>
    <s v="Se ingresa dinero al fondo"/>
  </r>
  <r>
    <s v="DE001"/>
    <x v="10"/>
    <s v="Beatriz"/>
    <s v="Tascon "/>
    <s v="Devolucion "/>
    <d v="2026-01-05T00:00:00"/>
    <x v="0"/>
    <x v="1"/>
    <s v="NO"/>
    <n v="0"/>
    <n v="600000"/>
    <n v="0"/>
    <n v="600000"/>
    <n v="1"/>
    <n v="2026"/>
    <n v="1"/>
    <s v="Bancolombia"/>
    <m/>
    <m/>
    <s v="Mensual"/>
    <s v="Se toma de aportes iniciales"/>
  </r>
  <r>
    <s v="DE002"/>
    <x v="10"/>
    <s v="Beatriz"/>
    <s v="Tascon "/>
    <s v="Devolucion "/>
    <d v="2026-01-05T00:00:00"/>
    <x v="0"/>
    <x v="1"/>
    <s v="NO"/>
    <n v="0"/>
    <n v="80000"/>
    <n v="0"/>
    <n v="80000"/>
    <n v="1"/>
    <n v="2026"/>
    <n v="1"/>
    <s v="Bancolombia"/>
    <s v="afec"/>
    <n v="6852"/>
    <s v="Mensual"/>
    <m/>
  </r>
  <r>
    <s v="AM286"/>
    <x v="11"/>
    <s v="Carolina "/>
    <s v="Caro"/>
    <s v="Abono"/>
    <d v="2026-01-05T00:00:00"/>
    <x v="0"/>
    <x v="1"/>
    <s v="NO"/>
    <n v="0"/>
    <n v="100000"/>
    <n v="0"/>
    <n v="100000"/>
    <n v="1"/>
    <n v="2026"/>
    <n v="1"/>
    <s v="Nubank"/>
    <n v="8416"/>
    <m/>
    <s v="Mensual"/>
    <m/>
  </r>
  <r>
    <s v="AM304"/>
    <x v="12"/>
    <s v="David "/>
    <s v="Camargo "/>
    <s v="Abono"/>
    <d v="2026-01-05T00:00:00"/>
    <x v="0"/>
    <x v="1"/>
    <s v="NO"/>
    <n v="0"/>
    <n v="50000"/>
    <n v="0"/>
    <n v="50000"/>
    <n v="1"/>
    <n v="2026"/>
    <n v="1"/>
    <s v="Bancolombia"/>
    <n v="7236"/>
    <m/>
    <s v="Mensual"/>
    <m/>
  </r>
  <r>
    <s v="AM303"/>
    <x v="13"/>
    <s v="Diana "/>
    <s v="Rojas "/>
    <s v="Abono"/>
    <d v="2026-01-05T00:00:00"/>
    <x v="0"/>
    <x v="1"/>
    <s v="NO"/>
    <n v="0"/>
    <n v="150000"/>
    <n v="0"/>
    <n v="150000"/>
    <n v="1"/>
    <n v="2026"/>
    <n v="1"/>
    <s v="Bancolombia"/>
    <n v="8846"/>
    <m/>
    <s v="Mensual"/>
    <m/>
  </r>
  <r>
    <s v="AM306"/>
    <x v="14"/>
    <s v="Lady"/>
    <s v="Torres"/>
    <s v="Abono"/>
    <d v="2026-01-05T00:00:00"/>
    <x v="0"/>
    <x v="1"/>
    <s v="NO"/>
    <n v="0"/>
    <n v="100000"/>
    <n v="0"/>
    <n v="100000"/>
    <n v="1"/>
    <n v="2026"/>
    <n v="1"/>
    <s v="Nubank"/>
    <s v="0f75"/>
    <m/>
    <s v="Mensual"/>
    <m/>
  </r>
  <r>
    <s v="AM287"/>
    <x v="15"/>
    <s v="Laura "/>
    <s v="Sanchez"/>
    <s v="Abono"/>
    <d v="2026-01-05T00:00:00"/>
    <x v="0"/>
    <x v="1"/>
    <s v="NO"/>
    <n v="0"/>
    <n v="50000"/>
    <n v="0"/>
    <n v="50000"/>
    <n v="1"/>
    <n v="2026"/>
    <n v="1"/>
    <s v="GNB Sudameris"/>
    <n v="8496"/>
    <n v="9030"/>
    <s v="Mensual"/>
    <m/>
  </r>
  <r>
    <s v="AM288"/>
    <x v="15"/>
    <s v="Laura "/>
    <s v="Sanchez"/>
    <s v="Abono"/>
    <d v="2026-01-05T00:00:00"/>
    <x v="0"/>
    <x v="0"/>
    <s v="NO"/>
    <n v="0"/>
    <n v="50000"/>
    <n v="0"/>
    <n v="50000"/>
    <n v="2"/>
    <n v="2026"/>
    <n v="1"/>
    <s v="GNB Sudameris"/>
    <n v="8496"/>
    <n v="9030"/>
    <s v="Mensual"/>
    <m/>
  </r>
  <r>
    <s v="AM289"/>
    <x v="15"/>
    <s v="Laura "/>
    <s v="Sanchez"/>
    <s v="Abono"/>
    <d v="2026-01-05T00:00:00"/>
    <x v="0"/>
    <x v="2"/>
    <s v="NO"/>
    <n v="0"/>
    <n v="50000"/>
    <n v="0"/>
    <n v="50000"/>
    <n v="3"/>
    <n v="2026"/>
    <n v="1"/>
    <s v="GNB Sudameris"/>
    <n v="8496"/>
    <n v="9030"/>
    <s v="Mensual"/>
    <m/>
  </r>
  <r>
    <s v="AM290"/>
    <x v="15"/>
    <s v="Laura "/>
    <s v="Sanchez"/>
    <s v="Abono"/>
    <d v="2026-01-05T00:00:00"/>
    <x v="0"/>
    <x v="3"/>
    <s v="NO"/>
    <n v="0"/>
    <n v="50000"/>
    <n v="0"/>
    <n v="50000"/>
    <n v="4"/>
    <n v="2026"/>
    <n v="1"/>
    <s v="GNB Sudameris"/>
    <n v="8496"/>
    <n v="9030"/>
    <s v="Mensual"/>
    <m/>
  </r>
  <r>
    <s v="AM291"/>
    <x v="15"/>
    <s v="Laura "/>
    <s v="Sanchez"/>
    <s v="Abono"/>
    <d v="2026-01-05T00:00:00"/>
    <x v="0"/>
    <x v="4"/>
    <s v="NO"/>
    <n v="0"/>
    <n v="50000"/>
    <n v="0"/>
    <n v="50000"/>
    <n v="5"/>
    <n v="2026"/>
    <n v="1"/>
    <s v="GNB Sudameris"/>
    <n v="8496"/>
    <n v="9030"/>
    <s v="Mensual"/>
    <m/>
  </r>
  <r>
    <s v="AM292"/>
    <x v="15"/>
    <s v="Laura "/>
    <s v="Sanchez"/>
    <s v="Abono"/>
    <d v="2026-01-05T00:00:00"/>
    <x v="0"/>
    <x v="5"/>
    <s v="NO"/>
    <n v="0"/>
    <n v="50000"/>
    <n v="0"/>
    <n v="50000"/>
    <n v="6"/>
    <n v="2026"/>
    <n v="1"/>
    <s v="GNB Sudameris"/>
    <n v="8496"/>
    <n v="9030"/>
    <s v="Mensual"/>
    <m/>
  </r>
  <r>
    <s v="AM293"/>
    <x v="15"/>
    <s v="Laura "/>
    <s v="Sanchez"/>
    <s v="Abono"/>
    <d v="2026-01-05T00:00:00"/>
    <x v="0"/>
    <x v="6"/>
    <s v="NO"/>
    <n v="0"/>
    <n v="50000"/>
    <n v="0"/>
    <n v="50000"/>
    <n v="7"/>
    <n v="2026"/>
    <n v="1"/>
    <s v="GNB Sudameris"/>
    <n v="8496"/>
    <n v="9030"/>
    <s v="Mensual"/>
    <m/>
  </r>
  <r>
    <s v="AM294"/>
    <x v="15"/>
    <s v="Laura "/>
    <s v="Sanchez"/>
    <s v="Abono"/>
    <d v="2026-01-05T00:00:00"/>
    <x v="0"/>
    <x v="7"/>
    <s v="NO"/>
    <n v="0"/>
    <n v="50000"/>
    <n v="0"/>
    <n v="50000"/>
    <n v="8"/>
    <n v="2026"/>
    <n v="1"/>
    <s v="GNB Sudameris"/>
    <n v="8496"/>
    <n v="9030"/>
    <s v="Mensual"/>
    <m/>
  </r>
  <r>
    <s v="AM295"/>
    <x v="15"/>
    <s v="Laura "/>
    <s v="Sanchez"/>
    <s v="Abono"/>
    <d v="2026-01-05T00:00:00"/>
    <x v="0"/>
    <x v="8"/>
    <s v="NO"/>
    <n v="0"/>
    <n v="50000"/>
    <n v="0"/>
    <n v="50000"/>
    <n v="9"/>
    <n v="2026"/>
    <n v="1"/>
    <s v="GNB Sudameris"/>
    <n v="8496"/>
    <n v="9030"/>
    <s v="Mensual"/>
    <m/>
  </r>
  <r>
    <s v="AM296"/>
    <x v="15"/>
    <s v="Laura "/>
    <s v="Sanchez"/>
    <s v="Abono"/>
    <d v="2026-01-05T00:00:00"/>
    <x v="0"/>
    <x v="9"/>
    <s v="NO"/>
    <n v="0"/>
    <n v="50000"/>
    <n v="0"/>
    <n v="50000"/>
    <n v="10"/>
    <n v="2026"/>
    <n v="1"/>
    <s v="GNB Sudameris"/>
    <n v="8496"/>
    <n v="9030"/>
    <s v="Mensual"/>
    <m/>
  </r>
  <r>
    <s v="AM297"/>
    <x v="15"/>
    <s v="Laura "/>
    <s v="Sanchez"/>
    <s v="Abono"/>
    <d v="2026-01-05T00:00:00"/>
    <x v="0"/>
    <x v="10"/>
    <s v="NO"/>
    <n v="0"/>
    <n v="50000"/>
    <n v="0"/>
    <n v="50000"/>
    <n v="11"/>
    <n v="2026"/>
    <n v="1"/>
    <s v="GNB Sudameris"/>
    <n v="8496"/>
    <n v="9030"/>
    <s v="Mensual"/>
    <m/>
  </r>
  <r>
    <s v="AM298"/>
    <x v="15"/>
    <s v="Laura "/>
    <s v="Sanchez"/>
    <s v="Abono"/>
    <d v="2026-01-05T00:00:00"/>
    <x v="0"/>
    <x v="11"/>
    <s v="NO"/>
    <n v="0"/>
    <n v="50000"/>
    <n v="0"/>
    <n v="50000"/>
    <n v="12"/>
    <n v="2026"/>
    <n v="1"/>
    <s v="GNB Sudameris"/>
    <n v="8496"/>
    <n v="9030"/>
    <s v="Mensual"/>
    <m/>
  </r>
  <r>
    <s v="AM305"/>
    <x v="16"/>
    <s v="Maria Isabel "/>
    <s v="Diaz"/>
    <s v="Abono"/>
    <d v="2026-01-05T00:00:00"/>
    <x v="0"/>
    <x v="1"/>
    <s v="NO"/>
    <n v="0"/>
    <n v="50000"/>
    <n v="0"/>
    <n v="50000"/>
    <n v="1"/>
    <n v="2026"/>
    <n v="1"/>
    <s v="Nubank"/>
    <s v="ca33"/>
    <m/>
    <s v="Mensual"/>
    <m/>
  </r>
  <r>
    <s v="AM299"/>
    <x v="17"/>
    <s v="Miriam"/>
    <s v="Rojas "/>
    <s v="Abono"/>
    <d v="2026-01-05T00:00:00"/>
    <x v="0"/>
    <x v="1"/>
    <s v="NO"/>
    <n v="0"/>
    <n v="50000"/>
    <n v="0"/>
    <n v="50000"/>
    <n v="1"/>
    <n v="2026"/>
    <n v="1"/>
    <s v="GNB Sudameris"/>
    <n v="1750"/>
    <m/>
    <s v="Mensual"/>
    <m/>
  </r>
  <r>
    <s v="AM302"/>
    <x v="18"/>
    <s v="Vladimir "/>
    <s v="Escobar"/>
    <s v="Abono"/>
    <d v="2026-01-05T00:00:00"/>
    <x v="0"/>
    <x v="1"/>
    <s v="NO"/>
    <n v="0"/>
    <n v="100000"/>
    <n v="0"/>
    <n v="100000"/>
    <n v="1"/>
    <n v="2026"/>
    <n v="1"/>
    <s v="Nubank"/>
    <s v="e69b"/>
    <n v="9763"/>
    <s v="Mensual"/>
    <m/>
  </r>
  <r>
    <s v="AM285"/>
    <x v="19"/>
    <s v="Paola "/>
    <s v="Rojas "/>
    <s v="Abono"/>
    <d v="2026-01-04T00:00:00"/>
    <x v="0"/>
    <x v="1"/>
    <s v="NO"/>
    <n v="0"/>
    <n v="100000"/>
    <n v="0"/>
    <n v="100000"/>
    <n v="1"/>
    <n v="2026"/>
    <n v="1"/>
    <s v="Nubank"/>
    <s v="0c34"/>
    <m/>
    <s v="Mensual"/>
    <m/>
  </r>
  <r>
    <s v="AM284"/>
    <x v="4"/>
    <s v="Jesus Vladimir "/>
    <s v="Escobar"/>
    <s v="Abono"/>
    <d v="2025-12-12T00:00:00"/>
    <x v="1"/>
    <x v="11"/>
    <s v="NO"/>
    <n v="0"/>
    <n v="100000"/>
    <n v="0"/>
    <n v="100000"/>
    <n v="12"/>
    <n v="2025"/>
    <n v="1"/>
    <s v="Nequi"/>
    <n v="9899"/>
    <m/>
    <s v="Mensual"/>
    <m/>
  </r>
  <r>
    <s v="AM282"/>
    <x v="6"/>
    <s v="Doris "/>
    <s v="Pascuas "/>
    <s v="Abono"/>
    <d v="2025-12-10T00:00:00"/>
    <x v="1"/>
    <x v="11"/>
    <s v="NO"/>
    <n v="0"/>
    <n v="20000"/>
    <n v="0"/>
    <n v="20000"/>
    <n v="12"/>
    <n v="2025"/>
    <n v="1"/>
    <s v="GNB Sudameris"/>
    <n v="6000"/>
    <n v="8600"/>
    <s v="Mensual"/>
    <m/>
  </r>
  <r>
    <s v="AM281"/>
    <x v="15"/>
    <s v="Laura "/>
    <s v="Sanchez"/>
    <s v="Abono"/>
    <d v="2025-12-10T00:00:00"/>
    <x v="1"/>
    <x v="11"/>
    <s v="NO"/>
    <n v="0"/>
    <n v="50000"/>
    <n v="0"/>
    <n v="50000"/>
    <n v="12"/>
    <n v="2025"/>
    <n v="1"/>
    <s v="GNB Sudameris"/>
    <n v="5976"/>
    <n v="9030"/>
    <s v="Mensual"/>
    <m/>
  </r>
  <r>
    <s v="AM283"/>
    <x v="5"/>
    <s v="Leonardo "/>
    <s v="Rojas "/>
    <s v="Abono"/>
    <d v="2025-12-10T00:00:00"/>
    <x v="1"/>
    <x v="11"/>
    <s v="NO"/>
    <n v="0"/>
    <n v="50000"/>
    <n v="0"/>
    <n v="50000"/>
    <n v="12"/>
    <n v="2025"/>
    <n v="1"/>
    <s v="GNB Sudameris"/>
    <n v="6341"/>
    <n v="8600"/>
    <s v="Mensual"/>
    <m/>
  </r>
  <r>
    <s v="AM280"/>
    <x v="8"/>
    <s v="Xiomara "/>
    <s v="Rojas "/>
    <s v="Abono"/>
    <d v="2025-12-10T00:00:00"/>
    <x v="1"/>
    <x v="11"/>
    <s v="NO"/>
    <n v="0"/>
    <n v="100000"/>
    <n v="0"/>
    <n v="100000"/>
    <n v="12"/>
    <n v="2025"/>
    <n v="1"/>
    <s v="Scotiabank"/>
    <n v="7077"/>
    <n v="2014"/>
    <s v="Mensual"/>
    <m/>
  </r>
  <r>
    <s v="AM279"/>
    <x v="0"/>
    <s v="Nicolas "/>
    <s v="Escobar"/>
    <s v="Abono"/>
    <d v="2025-12-09T00:00:00"/>
    <x v="1"/>
    <x v="11"/>
    <s v="NO"/>
    <n v="0"/>
    <n v="100000"/>
    <n v="0"/>
    <n v="100000"/>
    <n v="12"/>
    <n v="2025"/>
    <n v="1"/>
    <s v="Nequi"/>
    <m/>
    <m/>
    <s v="Mensual"/>
    <m/>
  </r>
  <r>
    <s v="AM278"/>
    <x v="19"/>
    <s v="Paola "/>
    <s v="Rojas "/>
    <s v="Abono"/>
    <d v="2025-12-08T00:00:00"/>
    <x v="1"/>
    <x v="11"/>
    <s v="NO"/>
    <n v="0"/>
    <n v="50000"/>
    <n v="0"/>
    <n v="50000"/>
    <n v="12"/>
    <n v="2025"/>
    <n v="1"/>
    <s v="Nubank"/>
    <n v="8608"/>
    <m/>
    <s v="Mensual"/>
    <m/>
  </r>
  <r>
    <s v="AM265"/>
    <x v="20"/>
    <s v="Fermin "/>
    <s v="Diaz"/>
    <s v="Abono"/>
    <d v="2025-12-07T00:00:00"/>
    <x v="0"/>
    <x v="1"/>
    <s v="NO"/>
    <n v="0"/>
    <n v="50000"/>
    <n v="0"/>
    <n v="50000"/>
    <n v="1"/>
    <n v="2026"/>
    <n v="1"/>
    <s v="Bancolombia"/>
    <s v="52F88"/>
    <m/>
    <s v="Mensual"/>
    <m/>
  </r>
  <r>
    <s v="AM266"/>
    <x v="20"/>
    <s v="Fermin "/>
    <s v="Diaz"/>
    <s v="Abono"/>
    <d v="2025-12-07T00:00:00"/>
    <x v="0"/>
    <x v="0"/>
    <s v="NO"/>
    <n v="0"/>
    <n v="50000"/>
    <n v="0"/>
    <n v="50000"/>
    <n v="2"/>
    <n v="2026"/>
    <n v="1"/>
    <s v="Bancolombia"/>
    <s v="52F88"/>
    <m/>
    <s v="Mensual"/>
    <m/>
  </r>
  <r>
    <s v="AM267"/>
    <x v="20"/>
    <s v="Fermin "/>
    <s v="Diaz"/>
    <s v="Abono"/>
    <d v="2025-12-07T00:00:00"/>
    <x v="0"/>
    <x v="2"/>
    <s v="NO"/>
    <n v="0"/>
    <n v="50000"/>
    <n v="0"/>
    <n v="50000"/>
    <n v="3"/>
    <n v="2026"/>
    <n v="1"/>
    <s v="Bancolombia"/>
    <s v="52F88"/>
    <m/>
    <s v="Mensual"/>
    <m/>
  </r>
  <r>
    <s v="AM268"/>
    <x v="20"/>
    <s v="Fermin "/>
    <s v="Diaz"/>
    <s v="Abono"/>
    <d v="2025-12-07T00:00:00"/>
    <x v="0"/>
    <x v="3"/>
    <s v="NO"/>
    <n v="0"/>
    <n v="50000"/>
    <n v="0"/>
    <n v="50000"/>
    <n v="4"/>
    <n v="2026"/>
    <n v="1"/>
    <s v="Bancolombia"/>
    <s v="52F88"/>
    <m/>
    <s v="Mensual"/>
    <m/>
  </r>
  <r>
    <s v="AM269"/>
    <x v="20"/>
    <s v="Fermin "/>
    <s v="Diaz"/>
    <s v="Abono"/>
    <d v="2025-12-07T00:00:00"/>
    <x v="0"/>
    <x v="4"/>
    <s v="NO"/>
    <n v="0"/>
    <n v="50000"/>
    <n v="0"/>
    <n v="50000"/>
    <n v="5"/>
    <n v="2026"/>
    <n v="1"/>
    <s v="Bancolombia"/>
    <s v="52F88"/>
    <m/>
    <s v="Mensual"/>
    <m/>
  </r>
  <r>
    <s v="AM270"/>
    <x v="20"/>
    <s v="Fermin "/>
    <s v="Diaz"/>
    <s v="Abono"/>
    <d v="2025-12-07T00:00:00"/>
    <x v="0"/>
    <x v="5"/>
    <s v="NO"/>
    <n v="0"/>
    <n v="50000"/>
    <n v="0"/>
    <n v="50000"/>
    <n v="6"/>
    <n v="2026"/>
    <n v="1"/>
    <s v="Bancolombia"/>
    <s v="52F88"/>
    <m/>
    <s v="Mensual"/>
    <m/>
  </r>
  <r>
    <s v="AM271"/>
    <x v="20"/>
    <s v="Fermin "/>
    <s v="Diaz"/>
    <s v="Abono"/>
    <d v="2025-12-07T00:00:00"/>
    <x v="0"/>
    <x v="6"/>
    <s v="NO"/>
    <n v="0"/>
    <n v="50000"/>
    <n v="0"/>
    <n v="50000"/>
    <n v="7"/>
    <n v="2026"/>
    <n v="1"/>
    <s v="Bancolombia"/>
    <s v="52F88"/>
    <m/>
    <s v="Mensual"/>
    <m/>
  </r>
  <r>
    <s v="AM272"/>
    <x v="20"/>
    <s v="Fermin "/>
    <s v="Diaz"/>
    <s v="Abono"/>
    <d v="2025-12-07T00:00:00"/>
    <x v="0"/>
    <x v="7"/>
    <s v="NO"/>
    <n v="0"/>
    <n v="50000"/>
    <n v="0"/>
    <n v="50000"/>
    <n v="8"/>
    <n v="2026"/>
    <n v="1"/>
    <s v="Bancolombia"/>
    <s v="52F88"/>
    <m/>
    <s v="Mensual"/>
    <m/>
  </r>
  <r>
    <s v="AM273"/>
    <x v="20"/>
    <s v="Fermin "/>
    <s v="Diaz"/>
    <s v="Abono"/>
    <d v="2025-12-07T00:00:00"/>
    <x v="0"/>
    <x v="8"/>
    <s v="NO"/>
    <n v="0"/>
    <n v="50000"/>
    <n v="0"/>
    <n v="50000"/>
    <n v="9"/>
    <n v="2026"/>
    <n v="1"/>
    <s v="Bancolombia"/>
    <s v="52F88"/>
    <m/>
    <s v="Mensual"/>
    <m/>
  </r>
  <r>
    <s v="AM274"/>
    <x v="20"/>
    <s v="Fermin "/>
    <s v="Diaz"/>
    <s v="Abono"/>
    <d v="2025-12-07T00:00:00"/>
    <x v="0"/>
    <x v="9"/>
    <s v="NO"/>
    <n v="0"/>
    <n v="50000"/>
    <n v="0"/>
    <n v="50000"/>
    <n v="10"/>
    <n v="2026"/>
    <n v="1"/>
    <s v="Bancolombia"/>
    <s v="52F88"/>
    <m/>
    <s v="Mensual"/>
    <m/>
  </r>
  <r>
    <s v="AM275"/>
    <x v="20"/>
    <s v="Fermin "/>
    <s v="Diaz"/>
    <s v="Abono"/>
    <d v="2025-12-07T00:00:00"/>
    <x v="0"/>
    <x v="10"/>
    <s v="NO"/>
    <n v="0"/>
    <n v="50000"/>
    <n v="0"/>
    <n v="50000"/>
    <n v="11"/>
    <n v="2026"/>
    <n v="1"/>
    <s v="Bancolombia"/>
    <s v="52F88"/>
    <m/>
    <s v="Mensual"/>
    <m/>
  </r>
  <r>
    <s v="AM276"/>
    <x v="20"/>
    <s v="Fermin "/>
    <s v="Diaz"/>
    <s v="Abono"/>
    <d v="2025-12-07T00:00:00"/>
    <x v="0"/>
    <x v="11"/>
    <s v="NO"/>
    <n v="0"/>
    <n v="50000"/>
    <n v="0"/>
    <n v="50000"/>
    <n v="12"/>
    <n v="2026"/>
    <n v="1"/>
    <s v="Bancolombia"/>
    <s v="52F88"/>
    <m/>
    <s v="Mensual"/>
    <m/>
  </r>
  <r>
    <s v="AM277"/>
    <x v="20"/>
    <s v="Fermin "/>
    <s v="Diaz"/>
    <s v="Abono"/>
    <d v="2025-12-07T00:00:00"/>
    <x v="0"/>
    <x v="1"/>
    <s v="NO"/>
    <n v="0"/>
    <n v="300000"/>
    <n v="0"/>
    <n v="300000"/>
    <n v="1"/>
    <n v="2026"/>
    <n v="1"/>
    <s v="Bancolombia"/>
    <s v="52F88"/>
    <m/>
    <s v="Mensual"/>
    <s v="Ahorro Adicional"/>
  </r>
  <r>
    <s v="AM264"/>
    <x v="1"/>
    <s v="Juan Carlos "/>
    <s v="Tascon "/>
    <s v="Abono"/>
    <d v="2025-12-07T00:00:00"/>
    <x v="0"/>
    <x v="1"/>
    <s v="NO"/>
    <n v="0"/>
    <n v="50000"/>
    <n v="0"/>
    <n v="50000"/>
    <n v="1"/>
    <n v="2026"/>
    <n v="1"/>
    <s v="Nequi"/>
    <n v="83414"/>
    <m/>
    <s v="Mensual"/>
    <m/>
  </r>
  <r>
    <s v="AM262"/>
    <x v="11"/>
    <s v="Carolina "/>
    <s v="Caro"/>
    <s v="Abono"/>
    <d v="2025-12-05T00:00:00"/>
    <x v="1"/>
    <x v="11"/>
    <s v="NO"/>
    <n v="0"/>
    <n v="50000"/>
    <n v="0"/>
    <n v="50000"/>
    <n v="12"/>
    <n v="2025"/>
    <n v="1"/>
    <s v="Nubank"/>
    <n v="4396"/>
    <m/>
    <s v="Mensual"/>
    <m/>
  </r>
  <r>
    <s v="AM263"/>
    <x v="18"/>
    <s v="Vladimir "/>
    <s v="Escobar"/>
    <s v="Abono"/>
    <d v="2025-12-05T00:00:00"/>
    <x v="1"/>
    <x v="11"/>
    <s v="NO"/>
    <n v="0"/>
    <n v="100000"/>
    <n v="0"/>
    <n v="100000"/>
    <n v="12"/>
    <n v="2025"/>
    <n v="1"/>
    <s v="Nubank"/>
    <s v="7D4E"/>
    <m/>
    <s v="Mensual"/>
    <m/>
  </r>
  <r>
    <s v="DTIAM08"/>
    <x v="21"/>
    <s v="Jose Antonio"/>
    <s v="Guerrero "/>
    <s v="Devolucion Total Intereses Ahorros Mensuales "/>
    <d v="2025-12-02T00:00:00"/>
    <x v="1"/>
    <x v="11"/>
    <s v="NO"/>
    <n v="0"/>
    <n v="-881910"/>
    <n v="0"/>
    <n v="-881910"/>
    <n v="12"/>
    <n v="2025"/>
    <n v="1"/>
    <s v="Bancolombia"/>
    <n v="4495"/>
    <m/>
    <s v="Mensual"/>
    <m/>
  </r>
  <r>
    <s v="DTIAM09"/>
    <x v="1"/>
    <s v="Juan Carlos "/>
    <s v="Tascon "/>
    <s v="Devolucion Total Intereses Ahorros Mensuales "/>
    <d v="2025-12-02T00:00:00"/>
    <x v="1"/>
    <x v="11"/>
    <s v="NO"/>
    <n v="0"/>
    <n v="-354910"/>
    <n v="0"/>
    <n v="-354910"/>
    <n v="12"/>
    <n v="2025"/>
    <n v="1"/>
    <s v="Nequi"/>
    <s v="9d06"/>
    <m/>
    <s v="Mensual"/>
    <m/>
  </r>
  <r>
    <s v="DIAM19"/>
    <x v="10"/>
    <s v="Beatriz"/>
    <s v="Tascon "/>
    <s v="Distribucion Intereses Ahorros Mensuales"/>
    <d v="2025-12-01T00:00:00"/>
    <x v="1"/>
    <x v="11"/>
    <s v="NO"/>
    <n v="0"/>
    <n v="302196.17207166983"/>
    <n v="0"/>
    <n v="302196.17207166983"/>
    <n v="12"/>
    <n v="2025"/>
    <n v="1"/>
    <m/>
    <m/>
    <m/>
    <s v="Anual"/>
    <n v="0.12344352655567357"/>
  </r>
  <r>
    <s v="DIAM13"/>
    <x v="11"/>
    <s v="Carolina "/>
    <s v="Caro"/>
    <s v="Distribucion Intereses Ahorros Mensuales"/>
    <d v="2025-12-01T00:00:00"/>
    <x v="1"/>
    <x v="11"/>
    <s v="NO"/>
    <n v="0"/>
    <n v="66724.701274380612"/>
    <n v="0"/>
    <n v="66724.701274380612"/>
    <n v="12"/>
    <n v="2025"/>
    <n v="1"/>
    <m/>
    <m/>
    <m/>
    <s v="Anual"/>
    <n v="2.7256243443513704E-2"/>
  </r>
  <r>
    <s v="DIAM12"/>
    <x v="12"/>
    <s v="David "/>
    <s v="Camargo "/>
    <s v="Distribucion Intereses Ahorros Mensuales"/>
    <d v="2025-12-01T00:00:00"/>
    <x v="1"/>
    <x v="11"/>
    <s v="NO"/>
    <n v="0"/>
    <n v="69527.138727904603"/>
    <n v="0"/>
    <n v="69527.138727904603"/>
    <n v="12"/>
    <n v="2025"/>
    <n v="1"/>
    <m/>
    <m/>
    <m/>
    <s v="Anual"/>
    <n v="2.8401005668141282E-2"/>
  </r>
  <r>
    <s v="DIAM20"/>
    <x v="13"/>
    <s v="Diana "/>
    <s v="Rojas "/>
    <s v="Distribucion Intereses Ahorros Mensuales"/>
    <d v="2025-12-01T00:00:00"/>
    <x v="1"/>
    <x v="11"/>
    <s v="NO"/>
    <n v="0"/>
    <n v="69527.138727904603"/>
    <n v="0"/>
    <n v="69527.138727904603"/>
    <n v="12"/>
    <n v="2025"/>
    <n v="1"/>
    <m/>
    <m/>
    <m/>
    <s v="Anual"/>
    <n v="2.8401005668141282E-2"/>
  </r>
  <r>
    <s v="DIAM06"/>
    <x v="6"/>
    <s v="Doris "/>
    <s v="Pascuas "/>
    <s v="Distribucion Intereses Ahorros Mensuales"/>
    <d v="2025-12-01T00:00:00"/>
    <x v="1"/>
    <x v="11"/>
    <s v="NO"/>
    <n v="0"/>
    <n v="26689.880509752245"/>
    <n v="0"/>
    <n v="26689.880509752245"/>
    <n v="12"/>
    <n v="2025"/>
    <n v="1"/>
    <m/>
    <m/>
    <m/>
    <s v="Anual"/>
    <n v="1.0902497377405482E-2"/>
  </r>
  <r>
    <s v="DIAM11"/>
    <x v="22"/>
    <s v="Edward "/>
    <s v="Rojas "/>
    <s v="Distribucion Intereses Ahorros Mensuales"/>
    <d v="2025-12-01T00:00:00"/>
    <x v="1"/>
    <x v="11"/>
    <s v="NO"/>
    <n v="0"/>
    <n v="22953.297238386931"/>
    <n v="0"/>
    <n v="22953.297238386931"/>
    <n v="12"/>
    <n v="2025"/>
    <n v="1"/>
    <m/>
    <m/>
    <m/>
    <s v="Anual"/>
    <n v="9.3761477445687153E-3"/>
  </r>
  <r>
    <s v="DIAM18"/>
    <x v="20"/>
    <s v="Fermin "/>
    <s v="Diaz"/>
    <s v="Distribucion Intereses Ahorros Mensuales"/>
    <d v="2025-12-01T00:00:00"/>
    <x v="1"/>
    <x v="11"/>
    <s v="NO"/>
    <n v="0"/>
    <n v="293588.6856072747"/>
    <n v="0"/>
    <n v="293588.6856072747"/>
    <n v="12"/>
    <n v="2025"/>
    <n v="1"/>
    <m/>
    <m/>
    <m/>
    <s v="Anual"/>
    <n v="0.11992747115146031"/>
  </r>
  <r>
    <s v="DIAM14"/>
    <x v="2"/>
    <s v="Gimena"/>
    <s v="Tascon "/>
    <s v="Distribucion Intereses Ahorros Mensuales"/>
    <d v="2025-12-01T00:00:00"/>
    <x v="1"/>
    <x v="11"/>
    <s v="NO"/>
    <n v="0"/>
    <n v="27357.127522496055"/>
    <n v="0"/>
    <n v="27357.127522496055"/>
    <n v="12"/>
    <n v="2025"/>
    <n v="1"/>
    <m/>
    <m/>
    <m/>
    <s v="Anual"/>
    <n v="1.117505981184062E-2"/>
  </r>
  <r>
    <s v="DIAM10"/>
    <x v="4"/>
    <s v="Jesus Vladimir "/>
    <s v="Escobar"/>
    <s v="Distribucion Intereses Ahorros Mensuales"/>
    <d v="2025-12-01T00:00:00"/>
    <x v="1"/>
    <x v="11"/>
    <s v="NO"/>
    <n v="0"/>
    <n v="66917.530022826322"/>
    <n v="0"/>
    <n v="66917.530022826322"/>
    <n v="12"/>
    <n v="2025"/>
    <n v="1"/>
    <m/>
    <m/>
    <m/>
    <s v="Anual"/>
    <n v="2.7335011683912891E-2"/>
  </r>
  <r>
    <s v="DIAM15"/>
    <x v="21"/>
    <s v="Jose Antonio"/>
    <s v="Guerrero "/>
    <s v="Distribucion Intereses Ahorros Mensuales"/>
    <d v="2025-12-01T00:00:00"/>
    <x v="1"/>
    <x v="11"/>
    <s v="NO"/>
    <n v="0"/>
    <n v="49910.0765532367"/>
    <n v="0"/>
    <n v="49910.0765532367"/>
    <n v="12"/>
    <n v="2025"/>
    <n v="1"/>
    <m/>
    <m/>
    <m/>
    <s v="Anual"/>
    <n v="2.0387670095748253E-2"/>
  </r>
  <r>
    <s v="DIAM05"/>
    <x v="1"/>
    <s v="Juan Carlos "/>
    <s v="Tascon "/>
    <s v="Distribucion Intereses Ahorros Mensuales"/>
    <d v="2025-12-01T00:00:00"/>
    <x v="1"/>
    <x v="11"/>
    <s v="NO"/>
    <n v="0"/>
    <n v="95945.432788758335"/>
    <n v="0"/>
    <n v="95945.432788758335"/>
    <n v="12"/>
    <n v="2025"/>
    <n v="1"/>
    <m/>
    <m/>
    <m/>
    <s v="Anual"/>
    <n v="3.9192563225273945E-2"/>
  </r>
  <r>
    <s v="DIAM04"/>
    <x v="14"/>
    <s v="Lady"/>
    <s v="Torres"/>
    <s v="Distribucion Intereses Ahorros Mensuales"/>
    <d v="2025-12-01T00:00:00"/>
    <x v="1"/>
    <x v="11"/>
    <s v="NO"/>
    <n v="0"/>
    <n v="133315.95314621247"/>
    <n v="0"/>
    <n v="133315.95314621247"/>
    <n v="12"/>
    <n v="2025"/>
    <n v="1"/>
    <m/>
    <m/>
    <m/>
    <s v="Anual"/>
    <n v="5.4457974400140385E-2"/>
  </r>
  <r>
    <s v="DIAM07"/>
    <x v="15"/>
    <s v="Laura "/>
    <s v="Sanchez"/>
    <s v="Distribucion Intereses Ahorros Mensuales"/>
    <d v="2025-12-01T00:00:00"/>
    <x v="1"/>
    <x v="11"/>
    <s v="NO"/>
    <n v="0"/>
    <n v="66724.701274380612"/>
    <n v="0"/>
    <n v="66724.701274380612"/>
    <n v="12"/>
    <n v="2025"/>
    <n v="1"/>
    <m/>
    <m/>
    <m/>
    <s v="Anual"/>
    <n v="2.7256243443513704E-2"/>
  </r>
  <r>
    <s v="DIAM02"/>
    <x v="5"/>
    <s v="Leonardo "/>
    <s v="Rojas "/>
    <s v="Distribucion Intereses Ahorros Mensuales"/>
    <d v="2025-12-01T00:00:00"/>
    <x v="1"/>
    <x v="11"/>
    <s v="NO"/>
    <n v="0"/>
    <n v="66724.701274380612"/>
    <n v="0"/>
    <n v="66724.701274380612"/>
    <n v="12"/>
    <n v="2025"/>
    <n v="1"/>
    <m/>
    <m/>
    <m/>
    <s v="Anual"/>
    <n v="2.7256243443513704E-2"/>
  </r>
  <r>
    <s v="DIAM16"/>
    <x v="16"/>
    <s v="Maria Isabel "/>
    <s v="Diaz"/>
    <s v="Distribucion Intereses Ahorros Mensuales"/>
    <d v="2025-12-01T00:00:00"/>
    <x v="1"/>
    <x v="11"/>
    <s v="NO"/>
    <n v="0"/>
    <n v="73397.171401818676"/>
    <n v="0"/>
    <n v="73397.171401818676"/>
    <n v="12"/>
    <n v="2025"/>
    <n v="1"/>
    <m/>
    <m/>
    <m/>
    <s v="Anual"/>
    <n v="2.9981867787865078E-2"/>
  </r>
  <r>
    <s v="DIAM09"/>
    <x v="0"/>
    <s v="Nicolas "/>
    <s v="Escobar"/>
    <s v="Distribucion Intereses Ahorros Mensuales"/>
    <d v="2025-12-01T00:00:00"/>
    <x v="1"/>
    <x v="11"/>
    <s v="NO"/>
    <n v="0"/>
    <n v="133449.40254876122"/>
    <n v="0"/>
    <n v="133449.40254876122"/>
    <n v="12"/>
    <n v="2025"/>
    <n v="1"/>
    <m/>
    <m/>
    <m/>
    <s v="Anual"/>
    <n v="5.4512486887027409E-2"/>
  </r>
  <r>
    <s v="DIAM17"/>
    <x v="3"/>
    <s v="Nicolas "/>
    <s v="Avila"/>
    <s v="Distribucion Intereses Ahorros Mensuales"/>
    <d v="2025-12-01T00:00:00"/>
    <x v="1"/>
    <x v="11"/>
    <s v="NO"/>
    <n v="0"/>
    <n v="28024.374535239858"/>
    <n v="0"/>
    <n v="28024.374535239858"/>
    <n v="12"/>
    <n v="2025"/>
    <n v="1"/>
    <m/>
    <m/>
    <m/>
    <s v="Anual"/>
    <n v="1.1447622246275756E-2"/>
  </r>
  <r>
    <s v="DIAM08"/>
    <x v="19"/>
    <s v="Paola "/>
    <s v="Rojas "/>
    <s v="Distribucion Intereses Ahorros Mensuales"/>
    <d v="2025-12-01T00:00:00"/>
    <x v="1"/>
    <x v="11"/>
    <s v="NO"/>
    <n v="0"/>
    <n v="266898.80509752245"/>
    <n v="0"/>
    <n v="266898.80509752245"/>
    <n v="12"/>
    <n v="2025"/>
    <n v="1"/>
    <m/>
    <m/>
    <m/>
    <s v="Anual"/>
    <n v="0.10902497377405482"/>
  </r>
  <r>
    <s v="DIAM01"/>
    <x v="18"/>
    <s v="Vladimir "/>
    <s v="Escobar"/>
    <s v="Distribucion Intereses Ahorros Mensuales"/>
    <d v="2025-12-01T00:00:00"/>
    <x v="1"/>
    <x v="11"/>
    <s v="NO"/>
    <n v="0"/>
    <n v="266898.80509752245"/>
    <n v="0"/>
    <n v="266898.80509752245"/>
    <n v="12"/>
    <n v="2025"/>
    <n v="1"/>
    <m/>
    <m/>
    <m/>
    <s v="Anual"/>
    <n v="0.10902497377405482"/>
  </r>
  <r>
    <s v="DIAM03"/>
    <x v="8"/>
    <s v="Xiomara "/>
    <s v="Rojas "/>
    <s v="Distribucion Intereses Ahorros Mensuales"/>
    <d v="2025-12-01T00:00:00"/>
    <x v="1"/>
    <x v="11"/>
    <s v="NO"/>
    <n v="0"/>
    <n v="321280.90457957069"/>
    <n v="0"/>
    <n v="321280.90457957069"/>
    <n v="12"/>
    <n v="2025"/>
    <n v="1"/>
    <m/>
    <m/>
    <m/>
    <s v="Anual"/>
    <n v="0.13123941181787424"/>
  </r>
  <r>
    <s v="DTIAM07"/>
    <x v="22"/>
    <s v="Edward "/>
    <s v="Rojas "/>
    <s v="Devolucion Total Intereses Ahorros Mensuales "/>
    <d v="2025-11-27T00:00:00"/>
    <x v="1"/>
    <x v="10"/>
    <s v="NO"/>
    <n v="0"/>
    <n v="-214953"/>
    <n v="0"/>
    <n v="-214953"/>
    <n v="12"/>
    <n v="2025"/>
    <n v="1"/>
    <s v="Bancolombia"/>
    <s v="c653"/>
    <m/>
    <s v="Mensual"/>
    <m/>
  </r>
  <r>
    <s v="DTIAM06"/>
    <x v="4"/>
    <s v="Jesus Vladimir "/>
    <s v="Escobar"/>
    <s v="Devolucion Total Intereses Ahorros Mensuales "/>
    <d v="2025-11-27T00:00:00"/>
    <x v="1"/>
    <x v="10"/>
    <s v="NO"/>
    <n v="0"/>
    <n v="-618362"/>
    <n v="0"/>
    <n v="-618362"/>
    <n v="12"/>
    <n v="2025"/>
    <n v="1"/>
    <s v="BBVA"/>
    <s v="daa1"/>
    <m/>
    <s v="Mensual"/>
    <m/>
  </r>
  <r>
    <s v="DTIAM03"/>
    <x v="10"/>
    <s v="Beatriz"/>
    <s v="Tascon "/>
    <s v="Devolucion Total Intereses Ahorros Mensuales "/>
    <d v="2025-11-26T00:00:00"/>
    <x v="1"/>
    <x v="10"/>
    <s v="NO"/>
    <n v="0"/>
    <n v="-5596696"/>
    <n v="0"/>
    <n v="-5596696"/>
    <n v="12"/>
    <n v="2025"/>
    <n v="1"/>
    <s v="Bancolombia"/>
    <s v="BB5C"/>
    <m/>
    <s v="Mensual"/>
    <m/>
  </r>
  <r>
    <s v="DTIAM04"/>
    <x v="20"/>
    <s v="Fermin "/>
    <s v="Diaz"/>
    <s v="Devolucion Total Intereses Ahorros Mensuales "/>
    <d v="2025-11-26T00:00:00"/>
    <x v="1"/>
    <x v="10"/>
    <s v="NO"/>
    <n v="0"/>
    <n v="-3539315"/>
    <n v="0"/>
    <n v="-3539315"/>
    <n v="12"/>
    <n v="2025"/>
    <n v="1"/>
    <s v="Bancolombia"/>
    <s v="D4D9"/>
    <m/>
    <s v="Mensual"/>
    <m/>
  </r>
  <r>
    <s v="DTIAM05"/>
    <x v="0"/>
    <s v="Nicolas "/>
    <s v="Escobar"/>
    <s v="Devolucion Total Intereses Ahorros Mensuales "/>
    <d v="2025-11-26T00:00:00"/>
    <x v="1"/>
    <x v="10"/>
    <s v="NO"/>
    <n v="0"/>
    <n v="-1233449"/>
    <n v="0"/>
    <n v="-1233449"/>
    <n v="12"/>
    <n v="2025"/>
    <n v="1"/>
    <s v="Banco Bogota"/>
    <s v="d7a8"/>
    <m/>
    <s v="Mensual"/>
    <m/>
  </r>
  <r>
    <s v="DTIAM02"/>
    <x v="19"/>
    <s v="Paola "/>
    <s v="Rojas "/>
    <s v="Devolucion Total Intereses Ahorros Mensuales "/>
    <d v="2025-11-26T00:00:00"/>
    <x v="1"/>
    <x v="10"/>
    <s v="NO"/>
    <n v="0"/>
    <n v="-2466899"/>
    <n v="0"/>
    <n v="-2466899"/>
    <n v="12"/>
    <n v="2025"/>
    <n v="1"/>
    <s v="Nubank"/>
    <s v="BEC5"/>
    <s v="OMP144"/>
    <s v="Mensual"/>
    <m/>
  </r>
  <r>
    <s v="DTIAM01"/>
    <x v="8"/>
    <s v="Xiomara "/>
    <s v="Rojas "/>
    <s v="Devolucion Total Intereses Ahorros Mensuales "/>
    <d v="2025-11-26T00:00:00"/>
    <x v="1"/>
    <x v="10"/>
    <s v="NO"/>
    <n v="0"/>
    <n v="-2768792"/>
    <n v="0"/>
    <n v="-2768792"/>
    <n v="12"/>
    <n v="2025"/>
    <n v="1"/>
    <s v="Scotiabank"/>
    <s v="e2a00"/>
    <m/>
    <s v="Mensual"/>
    <m/>
  </r>
  <r>
    <s v="AM261"/>
    <x v="10"/>
    <s v="Beatriz"/>
    <s v="Tascon "/>
    <s v="Abono"/>
    <d v="2025-11-19T00:00:00"/>
    <x v="1"/>
    <x v="10"/>
    <s v="NO"/>
    <n v="0"/>
    <n v="600000"/>
    <n v="0"/>
    <n v="600000"/>
    <n v="11"/>
    <n v="2025"/>
    <n v="1"/>
    <s v="Bancolombia"/>
    <n v="90165"/>
    <n v="6852"/>
    <s v="Mensual"/>
    <s v="Ahorro Adicional"/>
  </r>
  <r>
    <s v="AM258"/>
    <x v="14"/>
    <s v="Lady"/>
    <s v="Torres"/>
    <s v="Abono"/>
    <d v="2025-11-10T00:00:00"/>
    <x v="1"/>
    <x v="10"/>
    <s v="NO"/>
    <n v="0"/>
    <n v="100000"/>
    <n v="0"/>
    <n v="100000"/>
    <n v="11"/>
    <n v="2025"/>
    <n v="1"/>
    <s v="BBVA"/>
    <n v="4862"/>
    <n v="2651"/>
    <s v="Mensual"/>
    <m/>
  </r>
  <r>
    <s v="AM257"/>
    <x v="15"/>
    <s v="Laura "/>
    <s v="Sanchez"/>
    <s v="Abono"/>
    <d v="2025-11-10T00:00:00"/>
    <x v="1"/>
    <x v="10"/>
    <s v="NO"/>
    <n v="0"/>
    <n v="50000"/>
    <n v="0"/>
    <n v="50000"/>
    <n v="11"/>
    <n v="2025"/>
    <n v="1"/>
    <s v="GNB Sudameris"/>
    <n v="19411513"/>
    <n v="9030"/>
    <s v="Mensual"/>
    <m/>
  </r>
  <r>
    <s v="AM259"/>
    <x v="16"/>
    <s v="Maria Isabel "/>
    <s v="Diaz"/>
    <s v="Abono"/>
    <d v="2025-11-10T00:00:00"/>
    <x v="1"/>
    <x v="11"/>
    <s v="NO"/>
    <n v="0"/>
    <n v="50000"/>
    <n v="0"/>
    <n v="50000"/>
    <n v="12"/>
    <n v="2025"/>
    <n v="1"/>
    <s v="Nequi"/>
    <s v="4A0E"/>
    <n v="2097"/>
    <s v="Mensual"/>
    <m/>
  </r>
  <r>
    <s v="AM254"/>
    <x v="6"/>
    <s v="Doris "/>
    <s v="Pascuas "/>
    <s v="Abono"/>
    <d v="2025-11-07T00:00:00"/>
    <x v="1"/>
    <x v="10"/>
    <s v="NO"/>
    <n v="0"/>
    <n v="20000"/>
    <n v="0"/>
    <n v="20000"/>
    <n v="11"/>
    <n v="2025"/>
    <n v="1"/>
    <s v="GNB Sudameris"/>
    <n v="19176684"/>
    <n v="8600"/>
    <s v="Mensual"/>
    <m/>
  </r>
  <r>
    <s v="AM255"/>
    <x v="22"/>
    <s v="Edward "/>
    <s v="Rojas "/>
    <s v="Abono"/>
    <d v="2025-11-07T00:00:00"/>
    <x v="1"/>
    <x v="10"/>
    <s v="NO"/>
    <n v="0"/>
    <n v="20000"/>
    <n v="0"/>
    <n v="20000"/>
    <n v="11"/>
    <n v="2025"/>
    <n v="1"/>
    <s v="GNB Sudameris"/>
    <n v="19176707"/>
    <n v="8600"/>
    <s v="Mensual"/>
    <m/>
  </r>
  <r>
    <s v="AM256"/>
    <x v="4"/>
    <s v="Jesus Vladimir "/>
    <s v="Escobar"/>
    <s v="Abono"/>
    <d v="2025-11-07T00:00:00"/>
    <x v="1"/>
    <x v="10"/>
    <s v="NO"/>
    <n v="0"/>
    <n v="50000"/>
    <n v="0"/>
    <n v="50000"/>
    <n v="11"/>
    <n v="2025"/>
    <n v="1"/>
    <s v="Nequi"/>
    <m/>
    <m/>
    <s v="Mensual"/>
    <m/>
  </r>
  <r>
    <s v="AM253"/>
    <x v="5"/>
    <s v="Leonardo "/>
    <s v="Rojas "/>
    <s v="Abono"/>
    <d v="2025-11-07T00:00:00"/>
    <x v="1"/>
    <x v="10"/>
    <s v="NO"/>
    <n v="0"/>
    <n v="50000"/>
    <n v="0"/>
    <n v="50000"/>
    <n v="11"/>
    <n v="2025"/>
    <n v="1"/>
    <s v="GNB Sudameris"/>
    <n v="19176636"/>
    <n v="8600"/>
    <s v="Mensual"/>
    <m/>
  </r>
  <r>
    <s v="AM250"/>
    <x v="20"/>
    <s v="Fermin "/>
    <s v="Diaz"/>
    <s v="Abono"/>
    <d v="2025-11-06T00:00:00"/>
    <x v="1"/>
    <x v="10"/>
    <s v="NO"/>
    <n v="0"/>
    <n v="500000"/>
    <n v="0"/>
    <n v="500000"/>
    <n v="11"/>
    <n v="2025"/>
    <n v="1"/>
    <s v="Bancolombia"/>
    <m/>
    <n v="6820"/>
    <s v="Mensual"/>
    <s v="Ahorro Adicional"/>
  </r>
  <r>
    <s v="AM251"/>
    <x v="20"/>
    <s v="Fermin "/>
    <s v="Diaz"/>
    <s v="Abono"/>
    <d v="2025-11-06T00:00:00"/>
    <x v="1"/>
    <x v="11"/>
    <s v="NO"/>
    <n v="0"/>
    <n v="500000"/>
    <n v="0"/>
    <n v="500000"/>
    <n v="12"/>
    <n v="2025"/>
    <n v="1"/>
    <s v="Bancolombia"/>
    <m/>
    <n v="6820"/>
    <s v="Mensual"/>
    <s v="Ahorro Adicional"/>
  </r>
  <r>
    <s v="AM252"/>
    <x v="19"/>
    <s v="Paola "/>
    <s v="Rojas "/>
    <s v="Abono"/>
    <d v="2025-11-06T00:00:00"/>
    <x v="1"/>
    <x v="10"/>
    <s v="NO"/>
    <n v="0"/>
    <n v="200000"/>
    <n v="0"/>
    <n v="200000"/>
    <n v="11"/>
    <n v="2025"/>
    <n v="1"/>
    <s v="Nubank"/>
    <n v="7305"/>
    <m/>
    <s v="Mensual"/>
    <m/>
  </r>
  <r>
    <s v="AM246"/>
    <x v="11"/>
    <s v="Carolina "/>
    <s v="Caro"/>
    <s v="Abono"/>
    <d v="2025-11-05T00:00:00"/>
    <x v="1"/>
    <x v="10"/>
    <s v="NO"/>
    <n v="0"/>
    <n v="50000"/>
    <n v="0"/>
    <n v="50000"/>
    <n v="11"/>
    <n v="2025"/>
    <n v="1"/>
    <s v="Nubank"/>
    <s v="8cd8"/>
    <m/>
    <s v="Mensual"/>
    <m/>
  </r>
  <r>
    <s v="AM249"/>
    <x v="20"/>
    <s v="Fermin "/>
    <s v="Diaz"/>
    <s v="Abono"/>
    <d v="2025-11-05T00:00:00"/>
    <x v="1"/>
    <x v="10"/>
    <s v="NO"/>
    <n v="0"/>
    <n v="5726.5625"/>
    <n v="0"/>
    <n v="5726.5625"/>
    <n v="11"/>
    <n v="2025"/>
    <n v="1"/>
    <s v="Bancolombia"/>
    <m/>
    <n v="6820"/>
    <s v="Mensual"/>
    <s v="consigno de mas Cuotas Prestamo"/>
  </r>
  <r>
    <s v="AM248"/>
    <x v="1"/>
    <s v="Juan Carlos "/>
    <s v="Tascon "/>
    <s v="Abono"/>
    <d v="2025-11-05T00:00:00"/>
    <x v="1"/>
    <x v="10"/>
    <s v="NO"/>
    <n v="0"/>
    <n v="250000"/>
    <n v="0"/>
    <n v="250000"/>
    <n v="11"/>
    <n v="2025"/>
    <n v="1"/>
    <s v="Nequi"/>
    <n v="3906"/>
    <m/>
    <s v="Mensual"/>
    <s v="Ahorro Adicional"/>
  </r>
  <r>
    <s v="AM247"/>
    <x v="0"/>
    <s v="Nicolas "/>
    <s v="Escobar"/>
    <s v="Abono"/>
    <d v="2025-11-05T00:00:00"/>
    <x v="1"/>
    <x v="10"/>
    <s v="NO"/>
    <n v="0"/>
    <n v="100000"/>
    <n v="0"/>
    <n v="100000"/>
    <n v="11"/>
    <n v="2025"/>
    <n v="1"/>
    <s v="Nequi"/>
    <m/>
    <m/>
    <s v="Mensual"/>
    <m/>
  </r>
  <r>
    <s v="AM245"/>
    <x v="10"/>
    <s v="Beatriz"/>
    <s v="Tascon "/>
    <s v="Abono"/>
    <d v="2025-11-01T00:00:00"/>
    <x v="1"/>
    <x v="11"/>
    <s v="NO"/>
    <n v="0"/>
    <n v="150000"/>
    <n v="0"/>
    <n v="150000"/>
    <n v="12"/>
    <n v="2025"/>
    <n v="1"/>
    <s v="Bancolombia"/>
    <n v="23335"/>
    <n v="6852"/>
    <s v="Mensual"/>
    <m/>
  </r>
  <r>
    <s v="AM244"/>
    <x v="21"/>
    <s v="Jose Antonio"/>
    <s v="Guerrero "/>
    <s v="Abono"/>
    <d v="2025-11-01T00:00:00"/>
    <x v="1"/>
    <x v="10"/>
    <s v="NO"/>
    <n v="0"/>
    <n v="298000"/>
    <n v="0"/>
    <n v="298000"/>
    <n v="11"/>
    <n v="2025"/>
    <n v="1"/>
    <s v="Nubank"/>
    <s v="cf96a"/>
    <m/>
    <s v="Mensual"/>
    <s v="Abono Adicional"/>
  </r>
  <r>
    <s v="AM243"/>
    <x v="18"/>
    <s v="Vladimir "/>
    <s v="Escobar"/>
    <s v="Abono"/>
    <d v="2025-11-01T00:00:00"/>
    <x v="1"/>
    <x v="10"/>
    <s v="NO"/>
    <n v="0"/>
    <n v="100000"/>
    <n v="0"/>
    <n v="100000"/>
    <n v="11"/>
    <n v="2025"/>
    <n v="1"/>
    <s v="Nubank"/>
    <m/>
    <n v="9763"/>
    <s v="Mensual"/>
    <m/>
  </r>
  <r>
    <s v="AM237"/>
    <x v="2"/>
    <s v="Gimena"/>
    <s v="Tascon "/>
    <s v="Abono"/>
    <d v="2025-10-27T00:00:00"/>
    <x v="1"/>
    <x v="9"/>
    <s v="NO"/>
    <n v="0"/>
    <n v="40000"/>
    <n v="0"/>
    <n v="40000"/>
    <n v="10"/>
    <n v="2025"/>
    <n v="1"/>
    <s v="Bancolombia"/>
    <n v="66888387"/>
    <n v="3315"/>
    <s v="Mensual"/>
    <s v="Penalizado Ahorro hasta Diciembre"/>
  </r>
  <r>
    <s v="AM238"/>
    <x v="2"/>
    <s v="Gimena"/>
    <s v="Tascon "/>
    <s v="Abono"/>
    <d v="2025-10-27T00:00:00"/>
    <x v="1"/>
    <x v="10"/>
    <s v="NO"/>
    <n v="0"/>
    <n v="20000"/>
    <n v="0"/>
    <n v="20000"/>
    <n v="11"/>
    <n v="2025"/>
    <n v="1"/>
    <s v="Bancolombia"/>
    <n v="66888387"/>
    <n v="3315"/>
    <s v="Mensual"/>
    <s v="Ahorro hasta Diciembre"/>
  </r>
  <r>
    <s v="AM239"/>
    <x v="2"/>
    <s v="Gimena"/>
    <s v="Tascon "/>
    <s v="Abono"/>
    <d v="2025-10-27T00:00:00"/>
    <x v="1"/>
    <x v="11"/>
    <s v="NO"/>
    <n v="0"/>
    <n v="20000"/>
    <n v="0"/>
    <n v="20000"/>
    <n v="12"/>
    <n v="2025"/>
    <n v="1"/>
    <s v="Bancolombia"/>
    <n v="66888387"/>
    <n v="3315"/>
    <s v="Mensual"/>
    <s v="Ahorro hasta Diciembre"/>
  </r>
  <r>
    <s v="AM240"/>
    <x v="3"/>
    <s v="Nicolas "/>
    <s v="Avila"/>
    <s v="Abono"/>
    <d v="2025-10-27T00:00:00"/>
    <x v="1"/>
    <x v="9"/>
    <s v="NO"/>
    <n v="0"/>
    <n v="45000"/>
    <n v="0"/>
    <n v="45000"/>
    <n v="10"/>
    <n v="2025"/>
    <n v="1"/>
    <s v="Bancolombia"/>
    <n v="66888387"/>
    <n v="3315"/>
    <s v="Mensual"/>
    <s v="Penalizado Ahorro hasta Diciembre"/>
  </r>
  <r>
    <s v="AM241"/>
    <x v="3"/>
    <s v="Nicolas "/>
    <s v="Avila"/>
    <s v="Abono"/>
    <d v="2025-10-27T00:00:00"/>
    <x v="1"/>
    <x v="10"/>
    <s v="NO"/>
    <n v="0"/>
    <n v="20000"/>
    <n v="0"/>
    <n v="20000"/>
    <n v="11"/>
    <n v="2025"/>
    <n v="1"/>
    <s v="Bancolombia"/>
    <n v="66888387"/>
    <n v="3315"/>
    <s v="Mensual"/>
    <s v="Ahorro hasta Diciembre"/>
  </r>
  <r>
    <s v="AM242"/>
    <x v="3"/>
    <s v="Nicolas "/>
    <s v="Avila"/>
    <s v="Abono"/>
    <d v="2025-10-27T00:00:00"/>
    <x v="1"/>
    <x v="11"/>
    <s v="NO"/>
    <n v="0"/>
    <n v="20000"/>
    <n v="0"/>
    <n v="20000"/>
    <n v="12"/>
    <n v="2025"/>
    <n v="1"/>
    <s v="Bancolombia"/>
    <n v="66888387"/>
    <n v="3315"/>
    <s v="Mensual"/>
    <s v="Ahorro hasta Diciembre"/>
  </r>
  <r>
    <s v="AM236"/>
    <x v="1"/>
    <s v="Juan Carlos "/>
    <s v="Tascon "/>
    <s v="Abono"/>
    <d v="2025-10-22T00:00:00"/>
    <x v="1"/>
    <x v="10"/>
    <s v="NO"/>
    <n v="0"/>
    <n v="250000"/>
    <n v="0"/>
    <n v="250000"/>
    <n v="11"/>
    <n v="2025"/>
    <n v="1"/>
    <s v="Nequi"/>
    <n v="70539"/>
    <m/>
    <s v="Mensual"/>
    <s v="Ahorro Adicional"/>
  </r>
  <r>
    <s v="AM235"/>
    <x v="10"/>
    <s v="Beatriz"/>
    <s v="Tascon "/>
    <s v="Abono"/>
    <d v="2025-10-20T00:00:00"/>
    <x v="1"/>
    <x v="10"/>
    <s v="NO"/>
    <n v="0"/>
    <n v="1500000"/>
    <n v="0"/>
    <n v="1500000"/>
    <n v="11"/>
    <n v="2025"/>
    <n v="1"/>
    <s v="Bancolombia"/>
    <n v="50885"/>
    <n v="6852"/>
    <s v="Mensual"/>
    <m/>
  </r>
  <r>
    <s v="AM234"/>
    <x v="14"/>
    <s v="Lady"/>
    <s v="Torres"/>
    <s v="Abono"/>
    <d v="2025-10-14T00:00:00"/>
    <x v="1"/>
    <x v="9"/>
    <s v="NO"/>
    <n v="0"/>
    <n v="104000"/>
    <n v="0"/>
    <n v="104000"/>
    <n v="10"/>
    <n v="2025"/>
    <n v="1"/>
    <s v="Nubank"/>
    <s v="d2e1"/>
    <m/>
    <s v="Mensual"/>
    <s v="Penalizado "/>
  </r>
  <r>
    <s v="AM233"/>
    <x v="8"/>
    <s v="Xiomara "/>
    <s v="Rojas "/>
    <s v="Abono"/>
    <d v="2025-10-14T00:00:00"/>
    <x v="1"/>
    <x v="10"/>
    <s v="NO"/>
    <n v="0"/>
    <n v="40000"/>
    <n v="0"/>
    <n v="40000"/>
    <n v="11"/>
    <n v="2025"/>
    <n v="1"/>
    <s v="Scotiabank"/>
    <n v="8474"/>
    <n v="2014"/>
    <s v="Mensual"/>
    <m/>
  </r>
  <r>
    <s v="AM226"/>
    <x v="6"/>
    <s v="Doris "/>
    <s v="Pascuas "/>
    <s v="Abono"/>
    <d v="2025-10-08T00:00:00"/>
    <x v="1"/>
    <x v="9"/>
    <s v="NO"/>
    <n v="0"/>
    <n v="20000"/>
    <n v="0"/>
    <n v="20000"/>
    <n v="10"/>
    <n v="2025"/>
    <n v="1"/>
    <s v="GNB Sudameris"/>
    <n v="16666203"/>
    <n v="8600"/>
    <s v="Mensual"/>
    <m/>
  </r>
  <r>
    <s v="AM227"/>
    <x v="22"/>
    <s v="Edward "/>
    <s v="Rojas "/>
    <s v="Abono"/>
    <d v="2025-10-08T00:00:00"/>
    <x v="1"/>
    <x v="9"/>
    <s v="NO"/>
    <n v="0"/>
    <n v="20000"/>
    <n v="0"/>
    <n v="20000"/>
    <n v="10"/>
    <n v="2025"/>
    <n v="1"/>
    <s v="GNB Sudameris"/>
    <n v="16666220"/>
    <n v="8600"/>
    <s v="Mensual"/>
    <m/>
  </r>
  <r>
    <s v="AM223"/>
    <x v="4"/>
    <s v="Jesus Vladimir "/>
    <s v="Escobar"/>
    <s v="Abono"/>
    <d v="2025-10-08T00:00:00"/>
    <x v="1"/>
    <x v="9"/>
    <s v="NO"/>
    <n v="0"/>
    <n v="50000"/>
    <n v="0"/>
    <n v="50000"/>
    <n v="10"/>
    <n v="2025"/>
    <n v="1"/>
    <s v="Nequi"/>
    <m/>
    <m/>
    <s v="Mensual"/>
    <m/>
  </r>
  <r>
    <s v="AM224"/>
    <x v="4"/>
    <s v="Jesus Vladimir "/>
    <s v="Escobar"/>
    <s v="Abono"/>
    <d v="2025-10-08T00:00:00"/>
    <x v="1"/>
    <x v="9"/>
    <s v="NO"/>
    <n v="0"/>
    <n v="1444.9577500000596"/>
    <n v="0"/>
    <n v="1444.9577500000596"/>
    <n v="10"/>
    <n v="2025"/>
    <n v="1"/>
    <s v="Nequi"/>
    <m/>
    <m/>
    <s v="Mensual"/>
    <s v="Saldo Positivo"/>
  </r>
  <r>
    <s v="AM229"/>
    <x v="15"/>
    <s v="Laura "/>
    <s v="Sanchez"/>
    <s v="Abono"/>
    <d v="2025-10-08T00:00:00"/>
    <x v="1"/>
    <x v="9"/>
    <s v="NO"/>
    <n v="0"/>
    <n v="50000"/>
    <n v="0"/>
    <n v="50000"/>
    <n v="10"/>
    <n v="2025"/>
    <n v="1"/>
    <s v="GNB Sudameris"/>
    <n v="16666287"/>
    <n v="9030"/>
    <s v="Mensual"/>
    <m/>
  </r>
  <r>
    <s v="AM228"/>
    <x v="5"/>
    <s v="Leonardo "/>
    <s v="Rojas "/>
    <s v="Abono"/>
    <d v="2025-10-08T00:00:00"/>
    <x v="1"/>
    <x v="9"/>
    <s v="NO"/>
    <n v="0"/>
    <n v="50000"/>
    <n v="0"/>
    <n v="50000"/>
    <n v="10"/>
    <n v="2025"/>
    <n v="1"/>
    <s v="GNB Sudameris"/>
    <n v="16666236"/>
    <n v="8600"/>
    <s v="Mensual"/>
    <m/>
  </r>
  <r>
    <s v="AM230"/>
    <x v="16"/>
    <s v="Maria Isabel "/>
    <s v="Diaz"/>
    <s v="Abono"/>
    <d v="2025-10-08T00:00:00"/>
    <x v="1"/>
    <x v="9"/>
    <s v="NO"/>
    <n v="0"/>
    <n v="50000"/>
    <n v="0"/>
    <n v="50000"/>
    <n v="10"/>
    <n v="2025"/>
    <n v="1"/>
    <s v="Nequi"/>
    <n v="6073"/>
    <n v="2097"/>
    <s v="Mensual"/>
    <m/>
  </r>
  <r>
    <s v="AM231"/>
    <x v="16"/>
    <s v="Maria Isabel "/>
    <s v="Diaz"/>
    <s v="Abono"/>
    <d v="2025-10-08T00:00:00"/>
    <x v="1"/>
    <x v="10"/>
    <s v="NO"/>
    <n v="0"/>
    <n v="50000"/>
    <n v="0"/>
    <n v="50000"/>
    <n v="11"/>
    <n v="2025"/>
    <n v="1"/>
    <s v="Nequi"/>
    <n v="6073"/>
    <n v="2097"/>
    <s v="Mensual"/>
    <m/>
  </r>
  <r>
    <s v="AM225"/>
    <x v="0"/>
    <s v="Nicolas "/>
    <s v="Escobar"/>
    <s v="Abono"/>
    <d v="2025-10-08T00:00:00"/>
    <x v="1"/>
    <x v="9"/>
    <s v="NO"/>
    <n v="0"/>
    <n v="100000"/>
    <n v="0"/>
    <n v="100000"/>
    <n v="10"/>
    <n v="2025"/>
    <n v="1"/>
    <s v="Nequi"/>
    <m/>
    <m/>
    <s v="Mensual"/>
    <m/>
  </r>
  <r>
    <s v="AM232"/>
    <x v="18"/>
    <s v="Vladimir "/>
    <s v="Escobar"/>
    <s v="Abono"/>
    <d v="2025-10-08T00:00:00"/>
    <x v="1"/>
    <x v="9"/>
    <s v="NO"/>
    <n v="0"/>
    <n v="100000"/>
    <n v="0"/>
    <n v="100000"/>
    <n v="10"/>
    <n v="2025"/>
    <n v="1"/>
    <s v="Nubank"/>
    <s v="5ba8"/>
    <n v="9763"/>
    <s v="Mensual"/>
    <m/>
  </r>
  <r>
    <s v="AM221"/>
    <x v="10"/>
    <s v="Beatriz"/>
    <s v="Tascon "/>
    <s v="Abono"/>
    <d v="2025-10-05T00:00:00"/>
    <x v="1"/>
    <x v="9"/>
    <s v="NO"/>
    <n v="0"/>
    <n v="280000"/>
    <n v="0"/>
    <n v="280000"/>
    <n v="10"/>
    <n v="2025"/>
    <n v="1"/>
    <s v="Bancolombia"/>
    <n v="77644"/>
    <m/>
    <s v="Mensual"/>
    <s v="Ahorro Adicional"/>
  </r>
  <r>
    <s v="AM222"/>
    <x v="10"/>
    <s v="Beatriz"/>
    <s v="Tascon "/>
    <s v="Abono"/>
    <d v="2025-10-05T00:00:00"/>
    <x v="1"/>
    <x v="9"/>
    <s v="NO"/>
    <n v="0"/>
    <n v="20000"/>
    <n v="0"/>
    <n v="20000"/>
    <n v="10"/>
    <n v="2025"/>
    <n v="1"/>
    <s v="Bancolombia"/>
    <n v="77644"/>
    <m/>
    <s v="Mensual"/>
    <s v="Ahorro Adicional"/>
  </r>
  <r>
    <s v="AM220"/>
    <x v="11"/>
    <s v="Carolina "/>
    <s v="Caro"/>
    <s v="Abono"/>
    <d v="2025-10-05T00:00:00"/>
    <x v="1"/>
    <x v="9"/>
    <s v="NO"/>
    <n v="0"/>
    <n v="50000"/>
    <n v="0"/>
    <n v="50000"/>
    <n v="10"/>
    <n v="2025"/>
    <n v="1"/>
    <s v="Nubank"/>
    <s v="2e00"/>
    <m/>
    <s v="Mensual"/>
    <m/>
  </r>
  <r>
    <s v="AM219"/>
    <x v="19"/>
    <s v="Paola "/>
    <s v="Rojas "/>
    <s v="Abono"/>
    <d v="2025-10-03T00:00:00"/>
    <x v="1"/>
    <x v="9"/>
    <s v="NO"/>
    <n v="0"/>
    <n v="200000"/>
    <n v="0"/>
    <n v="200000"/>
    <n v="10"/>
    <n v="2025"/>
    <n v="1"/>
    <s v="Nubank"/>
    <s v="640d"/>
    <m/>
    <s v="Mensual"/>
    <m/>
  </r>
  <r>
    <s v="AM216"/>
    <x v="10"/>
    <s v="Beatriz"/>
    <s v="Tascon "/>
    <s v="Abono"/>
    <d v="2025-09-19T00:00:00"/>
    <x v="1"/>
    <x v="8"/>
    <s v="NO"/>
    <n v="0"/>
    <n v="20000"/>
    <n v="0"/>
    <n v="20000"/>
    <n v="9"/>
    <n v="2025"/>
    <n v="1"/>
    <s v="Bancolombia"/>
    <n v="75732"/>
    <m/>
    <s v="Mensual"/>
    <s v="Penalizado"/>
  </r>
  <r>
    <s v="AM217"/>
    <x v="10"/>
    <s v="Beatriz"/>
    <s v="Tascon "/>
    <s v="Abono"/>
    <d v="2025-09-19T00:00:00"/>
    <x v="1"/>
    <x v="9"/>
    <s v="NO"/>
    <n v="0"/>
    <n v="20000"/>
    <n v="0"/>
    <n v="20000"/>
    <n v="10"/>
    <n v="2025"/>
    <n v="1"/>
    <s v="Bancolombia"/>
    <n v="75732"/>
    <m/>
    <s v="Mensual"/>
    <m/>
  </r>
  <r>
    <s v="AM218"/>
    <x v="10"/>
    <s v="Beatriz"/>
    <s v="Tascon "/>
    <s v="Abono"/>
    <d v="2025-09-19T00:00:00"/>
    <x v="1"/>
    <x v="8"/>
    <s v="NO"/>
    <n v="0"/>
    <n v="310000"/>
    <n v="0"/>
    <n v="310000"/>
    <n v="9"/>
    <n v="2025"/>
    <n v="1"/>
    <s v="Bancolombia"/>
    <n v="75732"/>
    <m/>
    <s v="Mensual"/>
    <s v="Ahorro Mensual"/>
  </r>
  <r>
    <s v="AM215"/>
    <x v="8"/>
    <s v="Xiomara "/>
    <s v="Rojas "/>
    <s v="Abono"/>
    <d v="2025-09-12T00:00:00"/>
    <x v="1"/>
    <x v="9"/>
    <s v="NO"/>
    <n v="0"/>
    <n v="40000"/>
    <n v="0"/>
    <n v="40000"/>
    <n v="10"/>
    <n v="2025"/>
    <n v="1"/>
    <s v="Scotiabank"/>
    <n v="2359"/>
    <n v="2014"/>
    <s v="Mensual"/>
    <m/>
  </r>
  <r>
    <s v="AM209"/>
    <x v="6"/>
    <s v="Doris "/>
    <s v="Pascuas "/>
    <s v="Abono"/>
    <d v="2025-09-10T00:00:00"/>
    <x v="1"/>
    <x v="8"/>
    <s v="NO"/>
    <n v="0"/>
    <n v="20000"/>
    <n v="0"/>
    <n v="20000"/>
    <n v="9"/>
    <n v="2025"/>
    <n v="1"/>
    <s v="GNB Sudameris"/>
    <n v="14328374"/>
    <n v="8600"/>
    <s v="Mensual"/>
    <m/>
  </r>
  <r>
    <s v="AM210"/>
    <x v="22"/>
    <s v="Edward "/>
    <s v="Rojas "/>
    <s v="Abono"/>
    <d v="2025-09-10T00:00:00"/>
    <x v="1"/>
    <x v="8"/>
    <s v="NO"/>
    <n v="0"/>
    <n v="20000"/>
    <n v="0"/>
    <n v="20000"/>
    <n v="9"/>
    <n v="2025"/>
    <n v="1"/>
    <s v="GNB Sudameris"/>
    <n v="11328421"/>
    <n v="8600"/>
    <s v="Mensual"/>
    <m/>
  </r>
  <r>
    <s v="AM213"/>
    <x v="4"/>
    <s v="Jesus Vladimir "/>
    <s v="Escobar"/>
    <s v="Abono"/>
    <d v="2025-09-10T00:00:00"/>
    <x v="1"/>
    <x v="8"/>
    <s v="NO"/>
    <n v="0"/>
    <n v="50000"/>
    <n v="0"/>
    <n v="50000"/>
    <n v="9"/>
    <n v="2025"/>
    <n v="1"/>
    <s v="Nequi"/>
    <m/>
    <m/>
    <s v="Mensual"/>
    <m/>
  </r>
  <r>
    <s v="AM214"/>
    <x v="14"/>
    <s v="Lady"/>
    <s v="Torres"/>
    <s v="Abono"/>
    <d v="2025-09-10T00:00:00"/>
    <x v="1"/>
    <x v="8"/>
    <s v="NO"/>
    <n v="0"/>
    <n v="100000"/>
    <n v="0"/>
    <n v="100000"/>
    <n v="9"/>
    <n v="2025"/>
    <n v="1"/>
    <s v="Nubank"/>
    <s v="1741D"/>
    <m/>
    <s v="Mensual"/>
    <m/>
  </r>
  <r>
    <s v="AM211"/>
    <x v="15"/>
    <s v="Laura "/>
    <s v="Sanchez"/>
    <s v="Abono"/>
    <d v="2025-09-10T00:00:00"/>
    <x v="1"/>
    <x v="8"/>
    <s v="NO"/>
    <n v="0"/>
    <n v="50000"/>
    <n v="0"/>
    <n v="50000"/>
    <n v="9"/>
    <n v="2025"/>
    <n v="1"/>
    <s v="GNB Sudameris"/>
    <n v="11328425"/>
    <n v="8600"/>
    <s v="Mensual"/>
    <m/>
  </r>
  <r>
    <s v="AM212"/>
    <x v="5"/>
    <s v="Leonardo "/>
    <s v="Rojas "/>
    <s v="Abono"/>
    <d v="2025-09-10T00:00:00"/>
    <x v="1"/>
    <x v="8"/>
    <s v="NO"/>
    <n v="0"/>
    <n v="50000"/>
    <n v="0"/>
    <n v="50000"/>
    <n v="9"/>
    <n v="2025"/>
    <n v="1"/>
    <s v="GNB Sudameris"/>
    <n v="11328428"/>
    <n v="8600"/>
    <s v="Mensual"/>
    <m/>
  </r>
  <r>
    <s v="AM208"/>
    <x v="16"/>
    <s v="Maria Isabel "/>
    <s v="Diaz"/>
    <s v="Abono"/>
    <d v="2025-09-08T00:00:00"/>
    <x v="1"/>
    <x v="8"/>
    <s v="NO"/>
    <n v="0"/>
    <n v="50000"/>
    <n v="0"/>
    <n v="50000"/>
    <n v="9"/>
    <n v="2025"/>
    <n v="1"/>
    <s v="Nubank"/>
    <s v="53D92"/>
    <n v="9763"/>
    <s v="Mensual"/>
    <m/>
  </r>
  <r>
    <s v="AM206"/>
    <x v="11"/>
    <s v="Carolina "/>
    <s v="Caro"/>
    <s v="Abono"/>
    <d v="2025-09-05T00:00:00"/>
    <x v="1"/>
    <x v="8"/>
    <s v="NO"/>
    <n v="0"/>
    <n v="50000"/>
    <n v="0"/>
    <n v="50000"/>
    <n v="9"/>
    <n v="2025"/>
    <n v="1"/>
    <s v="Nubank"/>
    <s v="25C84"/>
    <m/>
    <s v="Mensual"/>
    <m/>
  </r>
  <r>
    <s v="AM207"/>
    <x v="0"/>
    <s v="Nicolas "/>
    <s v="Escobar"/>
    <s v="Abono"/>
    <d v="2025-09-05T00:00:00"/>
    <x v="1"/>
    <x v="8"/>
    <s v="NO"/>
    <n v="0"/>
    <n v="100000"/>
    <n v="0"/>
    <n v="100000"/>
    <n v="9"/>
    <n v="2025"/>
    <n v="1"/>
    <s v="Nequi"/>
    <m/>
    <m/>
    <s v="Mensual"/>
    <m/>
  </r>
  <r>
    <s v="AM205"/>
    <x v="19"/>
    <s v="Paola "/>
    <s v="Rojas "/>
    <s v="Abono"/>
    <d v="2025-09-02T00:00:00"/>
    <x v="1"/>
    <x v="8"/>
    <s v="NO"/>
    <n v="0"/>
    <n v="200000"/>
    <n v="0"/>
    <n v="200000"/>
    <n v="9"/>
    <n v="2025"/>
    <n v="1"/>
    <s v="Nubank"/>
    <s v="7AC2B"/>
    <m/>
    <s v="Mensual"/>
    <m/>
  </r>
  <r>
    <s v="AM204"/>
    <x v="18"/>
    <s v="Vladimir "/>
    <s v="Escobar"/>
    <s v="Abono"/>
    <d v="2025-09-01T00:00:00"/>
    <x v="1"/>
    <x v="8"/>
    <s v="NO"/>
    <n v="0"/>
    <n v="100000"/>
    <n v="0"/>
    <n v="100000"/>
    <n v="9"/>
    <n v="2025"/>
    <n v="1"/>
    <s v="Nubank"/>
    <s v="4E71E"/>
    <n v="9763"/>
    <s v="Mensual"/>
    <m/>
  </r>
  <r>
    <s v="AM203"/>
    <x v="8"/>
    <s v="Xiomara "/>
    <s v="Rojas "/>
    <s v="Abono"/>
    <d v="2025-08-14T00:00:00"/>
    <x v="1"/>
    <x v="8"/>
    <s v="NO"/>
    <n v="0"/>
    <n v="40000"/>
    <n v="0"/>
    <n v="40000"/>
    <n v="9"/>
    <n v="2025"/>
    <n v="1"/>
    <s v="Scotiabank"/>
    <n v="8698"/>
    <n v="2014"/>
    <s v="Mensual"/>
    <m/>
  </r>
  <r>
    <s v="AM202"/>
    <x v="14"/>
    <s v="Lady"/>
    <s v="Torres"/>
    <s v="Abono"/>
    <d v="2025-08-10T00:00:00"/>
    <x v="1"/>
    <x v="7"/>
    <s v="NO"/>
    <n v="0"/>
    <n v="100000"/>
    <n v="0"/>
    <n v="100000"/>
    <n v="8"/>
    <n v="2025"/>
    <n v="1"/>
    <s v="Nubank"/>
    <s v="c315f77"/>
    <m/>
    <s v="Mensual"/>
    <m/>
  </r>
  <r>
    <s v="AM200"/>
    <x v="15"/>
    <s v="Laura "/>
    <s v="Sanchez"/>
    <s v="Abono"/>
    <d v="2025-08-09T00:00:00"/>
    <x v="1"/>
    <x v="7"/>
    <s v="NO"/>
    <n v="0"/>
    <n v="50000"/>
    <n v="0"/>
    <n v="50000"/>
    <n v="8"/>
    <n v="2025"/>
    <n v="1"/>
    <s v="GNB Sudameris"/>
    <n v="11680731"/>
    <n v="9030"/>
    <s v="Mensual"/>
    <m/>
  </r>
  <r>
    <s v="AM201"/>
    <x v="5"/>
    <s v="Leonardo "/>
    <s v="Rojas "/>
    <s v="Abono"/>
    <d v="2025-08-09T00:00:00"/>
    <x v="1"/>
    <x v="7"/>
    <s v="NO"/>
    <n v="0"/>
    <n v="50000"/>
    <n v="0"/>
    <n v="50000"/>
    <n v="8"/>
    <n v="2025"/>
    <n v="1"/>
    <s v="GNB Sudameris"/>
    <n v="11680275"/>
    <n v="8600"/>
    <s v="Mensual"/>
    <m/>
  </r>
  <r>
    <s v="AM198"/>
    <x v="4"/>
    <s v="Jesus Vladimir "/>
    <s v="Escobar"/>
    <s v="Abono"/>
    <d v="2025-08-07T00:00:00"/>
    <x v="1"/>
    <x v="7"/>
    <s v="NO"/>
    <n v="0"/>
    <n v="50000"/>
    <n v="0"/>
    <n v="50000"/>
    <n v="8"/>
    <n v="2025"/>
    <n v="1"/>
    <s v="Nequi"/>
    <m/>
    <m/>
    <s v="Mensual"/>
    <m/>
  </r>
  <r>
    <s v="AM199"/>
    <x v="0"/>
    <s v="Nicolas "/>
    <s v="Escobar"/>
    <s v="Abono"/>
    <d v="2025-08-07T00:00:00"/>
    <x v="1"/>
    <x v="7"/>
    <s v="NO"/>
    <n v="0"/>
    <n v="100000"/>
    <n v="0"/>
    <n v="100000"/>
    <n v="8"/>
    <n v="2025"/>
    <n v="1"/>
    <s v="Nequi"/>
    <m/>
    <m/>
    <s v="Mensual"/>
    <m/>
  </r>
  <r>
    <s v="AM193"/>
    <x v="10"/>
    <s v="Beatriz"/>
    <s v="Tascon "/>
    <s v="Abono"/>
    <d v="2025-08-05T00:00:00"/>
    <x v="1"/>
    <x v="7"/>
    <s v="NO"/>
    <n v="0"/>
    <n v="220000"/>
    <n v="0"/>
    <n v="220000"/>
    <n v="8"/>
    <n v="2025"/>
    <n v="1"/>
    <s v="Bancolombia"/>
    <n v="45322"/>
    <n v="6852"/>
    <s v="Mensual"/>
    <m/>
  </r>
  <r>
    <s v="AM192"/>
    <x v="11"/>
    <s v="Carolina "/>
    <s v="Caro"/>
    <s v="Abono"/>
    <d v="2025-08-05T00:00:00"/>
    <x v="1"/>
    <x v="7"/>
    <s v="NO"/>
    <n v="0"/>
    <n v="50000"/>
    <n v="0"/>
    <n v="50000"/>
    <n v="8"/>
    <n v="2025"/>
    <n v="1"/>
    <s v="Nubank"/>
    <s v="f9d32"/>
    <m/>
    <s v="Mensual"/>
    <m/>
  </r>
  <r>
    <s v="AM195"/>
    <x v="6"/>
    <s v="Doris "/>
    <s v="Pascuas "/>
    <s v="Abono"/>
    <d v="2025-08-05T00:00:00"/>
    <x v="1"/>
    <x v="7"/>
    <s v="NO"/>
    <n v="0"/>
    <n v="20000"/>
    <n v="0"/>
    <n v="20000"/>
    <n v="8"/>
    <n v="2025"/>
    <n v="1"/>
    <s v="GNB Sudameris"/>
    <n v="11348239"/>
    <n v="8600"/>
    <s v="Mensual"/>
    <m/>
  </r>
  <r>
    <s v="AM194"/>
    <x v="22"/>
    <s v="Edward "/>
    <s v="Rojas "/>
    <s v="Abono"/>
    <d v="2025-08-05T00:00:00"/>
    <x v="1"/>
    <x v="7"/>
    <s v="NO"/>
    <n v="0"/>
    <n v="20000"/>
    <n v="0"/>
    <n v="20000"/>
    <n v="8"/>
    <n v="2025"/>
    <n v="1"/>
    <s v="GNB Sudameris"/>
    <n v="11348230"/>
    <n v="8600"/>
    <s v="Mensual"/>
    <m/>
  </r>
  <r>
    <s v="AM196"/>
    <x v="16"/>
    <s v="Maria Isabel "/>
    <s v="Diaz"/>
    <s v="Abono"/>
    <d v="2025-08-05T00:00:00"/>
    <x v="1"/>
    <x v="7"/>
    <s v="NO"/>
    <n v="0"/>
    <n v="50000"/>
    <n v="0"/>
    <n v="50000"/>
    <n v="8"/>
    <n v="2025"/>
    <n v="1"/>
    <s v="Nubank"/>
    <s v="e59d4"/>
    <n v="9763"/>
    <s v="Mensual"/>
    <m/>
  </r>
  <r>
    <s v="AM197"/>
    <x v="18"/>
    <s v="Vladimir "/>
    <s v="Escobar"/>
    <s v="Abono"/>
    <d v="2025-08-05T00:00:00"/>
    <x v="1"/>
    <x v="7"/>
    <s v="NO"/>
    <n v="0"/>
    <n v="100000"/>
    <n v="0"/>
    <n v="100000"/>
    <n v="8"/>
    <n v="2025"/>
    <n v="1"/>
    <s v="Nubank"/>
    <s v="9a556"/>
    <n v="9763"/>
    <s v="Mensual"/>
    <m/>
  </r>
  <r>
    <s v="AM186"/>
    <x v="2"/>
    <s v="Gimena"/>
    <s v="Tascon "/>
    <s v="Abono"/>
    <d v="2025-08-04T00:00:00"/>
    <x v="1"/>
    <x v="6"/>
    <s v="NO"/>
    <n v="0"/>
    <n v="45000"/>
    <n v="0"/>
    <n v="45000"/>
    <n v="7"/>
    <n v="2025"/>
    <n v="1"/>
    <s v="Bancolombia"/>
    <m/>
    <n v="3315"/>
    <s v="Mensual"/>
    <s v="Penalizado"/>
  </r>
  <r>
    <s v="AM187"/>
    <x v="2"/>
    <s v="Gimena"/>
    <s v="Tascon "/>
    <s v="Abono"/>
    <d v="2025-08-04T00:00:00"/>
    <x v="1"/>
    <x v="7"/>
    <s v="NO"/>
    <n v="0"/>
    <n v="20000"/>
    <n v="0"/>
    <n v="20000"/>
    <n v="8"/>
    <n v="2025"/>
    <n v="1"/>
    <s v="Bancolombia"/>
    <m/>
    <n v="3315"/>
    <s v="Mensual"/>
    <s v="Pago hasta Septiembre"/>
  </r>
  <r>
    <s v="AM188"/>
    <x v="2"/>
    <s v="Gimena"/>
    <s v="Tascon "/>
    <s v="Abono"/>
    <d v="2025-08-04T00:00:00"/>
    <x v="1"/>
    <x v="8"/>
    <s v="NO"/>
    <n v="0"/>
    <n v="20000"/>
    <n v="0"/>
    <n v="20000"/>
    <n v="9"/>
    <n v="2025"/>
    <n v="1"/>
    <s v="Bancolombia"/>
    <m/>
    <n v="3315"/>
    <s v="Mensual"/>
    <s v="Pago hasta Septiembre"/>
  </r>
  <r>
    <s v="AM189"/>
    <x v="3"/>
    <s v="Nicolas "/>
    <s v="Avila"/>
    <s v="Abono"/>
    <d v="2025-08-04T00:00:00"/>
    <x v="1"/>
    <x v="6"/>
    <s v="NO"/>
    <n v="0"/>
    <n v="45000"/>
    <n v="0"/>
    <n v="45000"/>
    <n v="7"/>
    <n v="2025"/>
    <n v="1"/>
    <s v="Bancolombia"/>
    <m/>
    <n v="3315"/>
    <s v="Mensual"/>
    <s v="Penalizado"/>
  </r>
  <r>
    <s v="AM190"/>
    <x v="3"/>
    <s v="Nicolas "/>
    <s v="Avila"/>
    <s v="Abono"/>
    <d v="2025-08-04T00:00:00"/>
    <x v="1"/>
    <x v="7"/>
    <s v="NO"/>
    <n v="0"/>
    <n v="20000"/>
    <n v="0"/>
    <n v="20000"/>
    <n v="8"/>
    <n v="2025"/>
    <n v="1"/>
    <s v="Bancolombia"/>
    <m/>
    <n v="3315"/>
    <s v="Mensual"/>
    <s v="Pago hasta Septiembre"/>
  </r>
  <r>
    <s v="AM191"/>
    <x v="3"/>
    <s v="Nicolas "/>
    <s v="Avila"/>
    <s v="Abono"/>
    <d v="2025-08-04T00:00:00"/>
    <x v="1"/>
    <x v="8"/>
    <s v="NO"/>
    <n v="0"/>
    <n v="20000"/>
    <n v="0"/>
    <n v="20000"/>
    <n v="9"/>
    <n v="2025"/>
    <n v="1"/>
    <s v="Bancolombia"/>
    <m/>
    <n v="3315"/>
    <s v="Mensual"/>
    <s v="Pago hasta Septiembre"/>
  </r>
  <r>
    <s v="AM185"/>
    <x v="19"/>
    <s v="Paola "/>
    <s v="Rojas "/>
    <s v="Abono"/>
    <d v="2025-08-04T00:00:00"/>
    <x v="1"/>
    <x v="7"/>
    <s v="NO"/>
    <n v="0"/>
    <n v="200000"/>
    <n v="0"/>
    <n v="200000"/>
    <n v="8"/>
    <n v="2025"/>
    <n v="1"/>
    <s v="Nubank"/>
    <s v="5ecae1"/>
    <m/>
    <s v="Mensual"/>
    <m/>
  </r>
  <r>
    <s v="AM180"/>
    <x v="21"/>
    <s v="Jose Antonio"/>
    <s v="Guerrero "/>
    <s v="Abono"/>
    <d v="2025-07-22T00:00:00"/>
    <x v="1"/>
    <x v="7"/>
    <s v="NO"/>
    <n v="0"/>
    <n v="60000"/>
    <n v="0"/>
    <n v="60000"/>
    <n v="8"/>
    <n v="2025"/>
    <n v="1"/>
    <s v="Bancolombia"/>
    <s v="7s2cec"/>
    <m/>
    <s v="Mensual"/>
    <s v="Abono Adicional"/>
  </r>
  <r>
    <s v="AM181"/>
    <x v="21"/>
    <s v="Jose Antonio"/>
    <s v="Guerrero "/>
    <s v="Abono"/>
    <d v="2025-07-22T00:00:00"/>
    <x v="1"/>
    <x v="8"/>
    <s v="NO"/>
    <n v="0"/>
    <n v="60000"/>
    <n v="0"/>
    <n v="60000"/>
    <n v="9"/>
    <n v="2025"/>
    <n v="1"/>
    <s v="Bancolombia"/>
    <s v="7s2cec"/>
    <m/>
    <s v="Mensual"/>
    <s v="Abono Adicional"/>
  </r>
  <r>
    <s v="AM182"/>
    <x v="21"/>
    <s v="Jose Antonio"/>
    <s v="Guerrero "/>
    <s v="Abono"/>
    <d v="2025-07-22T00:00:00"/>
    <x v="1"/>
    <x v="9"/>
    <s v="NO"/>
    <n v="0"/>
    <n v="60000"/>
    <n v="0"/>
    <n v="60000"/>
    <n v="10"/>
    <n v="2025"/>
    <n v="1"/>
    <s v="Bancolombia"/>
    <s v="7s2cec"/>
    <m/>
    <s v="Mensual"/>
    <s v="Abono Adicional"/>
  </r>
  <r>
    <s v="AM183"/>
    <x v="21"/>
    <s v="Jose Antonio"/>
    <s v="Guerrero "/>
    <s v="Abono"/>
    <d v="2025-07-22T00:00:00"/>
    <x v="1"/>
    <x v="10"/>
    <s v="NO"/>
    <n v="0"/>
    <n v="60000"/>
    <n v="0"/>
    <n v="60000"/>
    <n v="11"/>
    <n v="2025"/>
    <n v="1"/>
    <s v="Bancolombia"/>
    <s v="7s2cec"/>
    <m/>
    <s v="Mensual"/>
    <s v="Abono Adicional"/>
  </r>
  <r>
    <s v="AM184"/>
    <x v="21"/>
    <s v="Jose Antonio"/>
    <s v="Guerrero "/>
    <s v="Abono"/>
    <d v="2025-07-22T00:00:00"/>
    <x v="1"/>
    <x v="11"/>
    <s v="NO"/>
    <n v="0"/>
    <n v="60000"/>
    <n v="0"/>
    <n v="60000"/>
    <n v="12"/>
    <n v="2025"/>
    <n v="1"/>
    <s v="Bancolombia"/>
    <s v="7s2cec"/>
    <m/>
    <s v="Mensual"/>
    <s v="Abono Adicional"/>
  </r>
  <r>
    <s v="AM179"/>
    <x v="8"/>
    <s v="Xiomara "/>
    <s v="Rojas "/>
    <s v="Abono"/>
    <d v="2025-07-15T00:00:00"/>
    <x v="1"/>
    <x v="7"/>
    <s v="NO"/>
    <n v="0"/>
    <n v="40000"/>
    <n v="0"/>
    <n v="40000"/>
    <n v="8"/>
    <n v="2025"/>
    <n v="1"/>
    <s v="Scotiabank"/>
    <n v="9281"/>
    <m/>
    <s v="Mensual"/>
    <m/>
  </r>
  <r>
    <s v="AM178"/>
    <x v="14"/>
    <s v="Lady"/>
    <s v="Torres"/>
    <s v="Abono"/>
    <d v="2025-07-10T00:00:00"/>
    <x v="1"/>
    <x v="6"/>
    <s v="NO"/>
    <n v="0"/>
    <n v="100000"/>
    <n v="0"/>
    <n v="100000"/>
    <n v="7"/>
    <n v="2025"/>
    <n v="1"/>
    <s v="BBVA"/>
    <n v="1"/>
    <n v="5644"/>
    <s v="Mensual"/>
    <m/>
  </r>
  <r>
    <s v="AM176"/>
    <x v="15"/>
    <s v="Laura "/>
    <s v="Sanchez"/>
    <s v="Abono"/>
    <d v="2025-07-10T00:00:00"/>
    <x v="1"/>
    <x v="6"/>
    <s v="NO"/>
    <n v="0"/>
    <n v="50000"/>
    <n v="0"/>
    <n v="50000"/>
    <n v="7"/>
    <n v="2025"/>
    <n v="1"/>
    <s v="GNB Sudameris"/>
    <n v="9194443"/>
    <n v="8600"/>
    <s v="Mensual"/>
    <m/>
  </r>
  <r>
    <s v="AM177"/>
    <x v="5"/>
    <s v="Leonardo "/>
    <s v="Rojas "/>
    <s v="Abono"/>
    <d v="2025-07-10T00:00:00"/>
    <x v="1"/>
    <x v="6"/>
    <s v="NO"/>
    <n v="0"/>
    <n v="50000"/>
    <n v="0"/>
    <n v="50000"/>
    <n v="7"/>
    <n v="2025"/>
    <n v="1"/>
    <s v="GNB Sudameris"/>
    <n v="9194185"/>
    <n v="8600"/>
    <s v="Mensual"/>
    <m/>
  </r>
  <r>
    <s v="AM175"/>
    <x v="4"/>
    <s v="Jesus Vladimir "/>
    <s v="Escobar"/>
    <s v="Abono"/>
    <d v="2025-07-08T00:00:00"/>
    <x v="1"/>
    <x v="6"/>
    <s v="NO"/>
    <n v="0"/>
    <n v="50000"/>
    <n v="0"/>
    <n v="50000"/>
    <n v="7"/>
    <n v="2025"/>
    <n v="1"/>
    <s v="Nequi"/>
    <m/>
    <m/>
    <s v="Mensual"/>
    <m/>
  </r>
  <r>
    <s v="AM174"/>
    <x v="0"/>
    <s v="Nicolas "/>
    <s v="Escobar"/>
    <s v="Abono"/>
    <d v="2025-07-08T00:00:00"/>
    <x v="1"/>
    <x v="6"/>
    <s v="NO"/>
    <n v="0"/>
    <n v="100000"/>
    <n v="0"/>
    <n v="100000"/>
    <n v="7"/>
    <n v="2025"/>
    <n v="1"/>
    <s v="Nequi"/>
    <m/>
    <m/>
    <s v="Mensual"/>
    <m/>
  </r>
  <r>
    <s v="AM173"/>
    <x v="18"/>
    <s v="Vladimir "/>
    <s v="Escobar"/>
    <s v="Abono"/>
    <d v="2025-07-07T00:00:00"/>
    <x v="1"/>
    <x v="6"/>
    <s v="NO"/>
    <n v="0"/>
    <n v="100000"/>
    <n v="0"/>
    <n v="100000"/>
    <n v="7"/>
    <n v="2025"/>
    <n v="1"/>
    <s v="Nubank"/>
    <s v="649A7"/>
    <s v="VED227"/>
    <s v="Mensual"/>
    <m/>
  </r>
  <r>
    <s v="AM172"/>
    <x v="10"/>
    <s v="Beatriz"/>
    <s v="Tascon "/>
    <s v="Abono"/>
    <d v="2025-07-05T00:00:00"/>
    <x v="1"/>
    <x v="6"/>
    <s v="NO"/>
    <n v="0"/>
    <n v="520000"/>
    <n v="0"/>
    <n v="520000"/>
    <n v="7"/>
    <n v="2025"/>
    <n v="1"/>
    <s v="Bancolombia"/>
    <n v="4695"/>
    <n v="6852"/>
    <s v="Mensual"/>
    <m/>
  </r>
  <r>
    <s v="AM171"/>
    <x v="11"/>
    <s v="Carolina "/>
    <s v="Caro"/>
    <s v="Abono"/>
    <d v="2025-07-05T00:00:00"/>
    <x v="1"/>
    <x v="6"/>
    <s v="NO"/>
    <n v="0"/>
    <n v="50000"/>
    <n v="0"/>
    <n v="50000"/>
    <n v="7"/>
    <n v="2025"/>
    <n v="1"/>
    <s v="Nubank"/>
    <s v="ff2435"/>
    <m/>
    <s v="Mensual"/>
    <m/>
  </r>
  <r>
    <s v="AM170"/>
    <x v="16"/>
    <s v="Maria Isabel "/>
    <s v="Diaz"/>
    <s v="Abono"/>
    <d v="2025-07-05T00:00:00"/>
    <x v="1"/>
    <x v="6"/>
    <s v="NO"/>
    <n v="0"/>
    <n v="50000"/>
    <n v="0"/>
    <n v="50000"/>
    <n v="7"/>
    <n v="2025"/>
    <n v="1"/>
    <s v="Nubank"/>
    <n v="382395"/>
    <m/>
    <s v="Mensual"/>
    <m/>
  </r>
  <r>
    <s v="AM167"/>
    <x v="6"/>
    <s v="Doris "/>
    <s v="Pascuas "/>
    <s v="Abono"/>
    <d v="2025-07-03T00:00:00"/>
    <x v="1"/>
    <x v="6"/>
    <s v="NO"/>
    <n v="0"/>
    <n v="20000"/>
    <n v="0"/>
    <n v="20000"/>
    <n v="7"/>
    <n v="2025"/>
    <n v="1"/>
    <s v="GNB Sudameris"/>
    <n v="8622104"/>
    <n v="8600"/>
    <s v="Mensual"/>
    <m/>
  </r>
  <r>
    <s v="AM168"/>
    <x v="22"/>
    <s v="Edward "/>
    <s v="Rojas "/>
    <s v="Abono"/>
    <d v="2025-07-03T00:00:00"/>
    <x v="1"/>
    <x v="6"/>
    <s v="NO"/>
    <n v="0"/>
    <n v="20000"/>
    <n v="0"/>
    <n v="20000"/>
    <n v="7"/>
    <n v="2025"/>
    <n v="1"/>
    <s v="GNB Sudameris"/>
    <n v="8622116"/>
    <n v="8600"/>
    <s v="Mensual"/>
    <m/>
  </r>
  <r>
    <s v="AM169"/>
    <x v="19"/>
    <s v="Paola "/>
    <s v="Rojas "/>
    <s v="Abono"/>
    <d v="2025-07-03T00:00:00"/>
    <x v="1"/>
    <x v="6"/>
    <s v="NO"/>
    <n v="0"/>
    <n v="200000"/>
    <n v="0"/>
    <n v="200000"/>
    <n v="7"/>
    <n v="2025"/>
    <n v="1"/>
    <s v="Nubank"/>
    <s v="6c8ee2"/>
    <m/>
    <s v="Mensual"/>
    <m/>
  </r>
  <r>
    <s v="AM166"/>
    <x v="18"/>
    <s v="Vladimir "/>
    <s v="Escobar"/>
    <s v="Abono"/>
    <d v="2025-06-28T00:00:00"/>
    <x v="1"/>
    <x v="5"/>
    <s v="NO"/>
    <n v="0"/>
    <n v="1000000"/>
    <n v="0"/>
    <n v="1000000"/>
    <n v="6"/>
    <n v="2025"/>
    <n v="1"/>
    <s v="Nubank"/>
    <s v="c9179"/>
    <s v="VED227"/>
    <s v="Mensual"/>
    <s v="Ahorro Adicional "/>
  </r>
  <r>
    <s v="AM165"/>
    <x v="8"/>
    <s v="Xiomara "/>
    <s v="Rojas "/>
    <s v="Abono"/>
    <d v="2025-06-25T00:00:00"/>
    <x v="1"/>
    <x v="6"/>
    <s v="NO"/>
    <n v="0"/>
    <n v="1000000"/>
    <n v="0"/>
    <n v="1000000"/>
    <n v="7"/>
    <n v="2025"/>
    <n v="1"/>
    <s v="Scotiabank"/>
    <n v="76541"/>
    <n v="2014"/>
    <s v="Mensual"/>
    <s v="Ahorro Adicional "/>
  </r>
  <r>
    <s v="AM164"/>
    <x v="8"/>
    <s v="Xiomara "/>
    <s v="Rojas "/>
    <s v="Abono"/>
    <d v="2025-06-13T00:00:00"/>
    <x v="1"/>
    <x v="6"/>
    <s v="NO"/>
    <n v="0"/>
    <n v="40000"/>
    <n v="0"/>
    <n v="40000"/>
    <n v="7"/>
    <n v="2025"/>
    <n v="1"/>
    <s v="Scotiabank"/>
    <n v="76541"/>
    <n v="2014"/>
    <s v="Mensual"/>
    <m/>
  </r>
  <r>
    <s v="AM162"/>
    <x v="15"/>
    <s v="Laura "/>
    <s v="Sanchez"/>
    <s v="Abono"/>
    <d v="2025-06-10T00:00:00"/>
    <x v="1"/>
    <x v="5"/>
    <s v="NO"/>
    <n v="0"/>
    <n v="50000"/>
    <n v="0"/>
    <n v="50000"/>
    <n v="6"/>
    <n v="2025"/>
    <n v="1"/>
    <s v="GNB Sudameris"/>
    <n v="6768405"/>
    <n v="9030"/>
    <s v="Mensual"/>
    <m/>
  </r>
  <r>
    <s v="AM163"/>
    <x v="5"/>
    <s v="Leonardo "/>
    <s v="Rojas "/>
    <s v="Abono"/>
    <d v="2025-06-10T00:00:00"/>
    <x v="1"/>
    <x v="5"/>
    <s v="NO"/>
    <n v="0"/>
    <n v="50000"/>
    <n v="0"/>
    <n v="50000"/>
    <n v="6"/>
    <n v="2025"/>
    <n v="1"/>
    <s v="Nequi"/>
    <m/>
    <m/>
    <s v="Mensual"/>
    <m/>
  </r>
  <r>
    <s v="AM159"/>
    <x v="10"/>
    <s v="Beatriz"/>
    <s v="Tascon "/>
    <s v="Abono"/>
    <d v="2025-06-09T00:00:00"/>
    <x v="1"/>
    <x v="5"/>
    <s v="NO"/>
    <n v="0"/>
    <n v="230000"/>
    <n v="0"/>
    <n v="230000"/>
    <n v="6"/>
    <n v="2025"/>
    <n v="1"/>
    <s v="Nubank"/>
    <n v="82206"/>
    <n v="6852"/>
    <s v="Mensual"/>
    <m/>
  </r>
  <r>
    <s v="AM160"/>
    <x v="10"/>
    <s v="Beatriz"/>
    <s v="Tascon "/>
    <s v="Abono"/>
    <d v="2025-06-09T00:00:00"/>
    <x v="1"/>
    <x v="6"/>
    <s v="NO"/>
    <n v="0"/>
    <n v="20000"/>
    <n v="0"/>
    <n v="20000"/>
    <n v="7"/>
    <n v="2025"/>
    <n v="1"/>
    <s v="Nubank"/>
    <n v="82206"/>
    <n v="6852"/>
    <s v="Mensual"/>
    <m/>
  </r>
  <r>
    <s v="AM161"/>
    <x v="20"/>
    <s v="Fermin "/>
    <s v="Diaz"/>
    <s v="Abono"/>
    <d v="2025-06-09T00:00:00"/>
    <x v="1"/>
    <x v="5"/>
    <s v="NO"/>
    <n v="0"/>
    <n v="500000"/>
    <n v="0"/>
    <n v="500000"/>
    <n v="6"/>
    <n v="2025"/>
    <n v="1"/>
    <s v="Bancolombia"/>
    <n v="78686"/>
    <n v="6820"/>
    <s v="Mensual"/>
    <s v="Ahorro Adicional "/>
  </r>
  <r>
    <s v="AM158"/>
    <x v="18"/>
    <s v="Vladimir "/>
    <s v="Escobar"/>
    <s v="Abono"/>
    <d v="2025-06-09T00:00:00"/>
    <x v="1"/>
    <x v="5"/>
    <s v="NO"/>
    <n v="0"/>
    <n v="100000"/>
    <n v="0"/>
    <n v="100000"/>
    <n v="6"/>
    <n v="2025"/>
    <n v="1"/>
    <s v="Nubank"/>
    <s v="96ec1"/>
    <s v="VED227"/>
    <s v="Mensual"/>
    <m/>
  </r>
  <r>
    <s v="AM156"/>
    <x v="11"/>
    <s v="Carolina "/>
    <s v="Caro"/>
    <s v="Abono"/>
    <d v="2025-06-05T00:00:00"/>
    <x v="1"/>
    <x v="5"/>
    <s v="NO"/>
    <n v="0"/>
    <n v="50000"/>
    <n v="0"/>
    <n v="50000"/>
    <n v="6"/>
    <n v="2025"/>
    <n v="1"/>
    <s v="Nubank"/>
    <s v="19a74"/>
    <m/>
    <s v="Mensual"/>
    <m/>
  </r>
  <r>
    <s v="AM157"/>
    <x v="16"/>
    <s v="Maria Isabel "/>
    <s v="Diaz"/>
    <s v="Abono"/>
    <d v="2025-06-05T00:00:00"/>
    <x v="1"/>
    <x v="5"/>
    <s v="NO"/>
    <n v="0"/>
    <n v="50000"/>
    <n v="0"/>
    <n v="50000"/>
    <n v="6"/>
    <n v="2025"/>
    <n v="1"/>
    <s v="Nubank"/>
    <s v="d0502"/>
    <m/>
    <s v="Mensual"/>
    <m/>
  </r>
  <r>
    <s v="AM153"/>
    <x v="22"/>
    <s v="Edward "/>
    <s v="Rojas "/>
    <s v="Abono"/>
    <d v="2025-06-04T00:00:00"/>
    <x v="1"/>
    <x v="5"/>
    <s v="NO"/>
    <n v="0"/>
    <n v="20000"/>
    <n v="0"/>
    <n v="20000"/>
    <n v="6"/>
    <n v="2025"/>
    <n v="1"/>
    <s v="GNB Sudameris"/>
    <n v="6270118"/>
    <n v="8600"/>
    <s v="Mensual"/>
    <m/>
  </r>
  <r>
    <s v="AM155"/>
    <x v="14"/>
    <s v="Lady"/>
    <s v="Torres"/>
    <s v="Abono"/>
    <d v="2025-06-04T00:00:00"/>
    <x v="1"/>
    <x v="5"/>
    <s v="NO"/>
    <n v="0"/>
    <n v="100000"/>
    <n v="0"/>
    <n v="100000"/>
    <n v="6"/>
    <n v="2025"/>
    <n v="1"/>
    <s v="Nubank"/>
    <s v="7d163"/>
    <m/>
    <s v="Mensual"/>
    <m/>
  </r>
  <r>
    <s v="AM154"/>
    <x v="19"/>
    <s v="Paola "/>
    <s v="Rojas "/>
    <s v="Abono"/>
    <d v="2025-06-04T00:00:00"/>
    <x v="1"/>
    <x v="5"/>
    <s v="NO"/>
    <n v="0"/>
    <n v="200000"/>
    <n v="0"/>
    <n v="200000"/>
    <n v="6"/>
    <n v="2025"/>
    <n v="1"/>
    <s v="Nubank"/>
    <s v="C3F484C"/>
    <m/>
    <s v="Mensual"/>
    <m/>
  </r>
  <r>
    <s v="AM152"/>
    <x v="4"/>
    <s v="Jesus Vladimir "/>
    <s v="Escobar"/>
    <s v="Abono"/>
    <d v="2025-06-02T00:00:00"/>
    <x v="1"/>
    <x v="5"/>
    <s v="NO"/>
    <n v="0"/>
    <n v="50000"/>
    <n v="0"/>
    <n v="50000"/>
    <n v="6"/>
    <n v="2025"/>
    <n v="1"/>
    <s v="Nequi"/>
    <m/>
    <m/>
    <s v="Mensual"/>
    <m/>
  </r>
  <r>
    <s v="AM151"/>
    <x v="0"/>
    <s v="Nicolas "/>
    <s v="Escobar"/>
    <s v="Abono"/>
    <d v="2025-06-02T00:00:00"/>
    <x v="1"/>
    <x v="5"/>
    <s v="NO"/>
    <n v="0"/>
    <n v="100000"/>
    <n v="0"/>
    <n v="100000"/>
    <n v="6"/>
    <n v="2025"/>
    <n v="1"/>
    <s v="Nequi"/>
    <m/>
    <m/>
    <s v="Mensual"/>
    <m/>
  </r>
  <r>
    <s v="AM148"/>
    <x v="8"/>
    <s v="Xiomara "/>
    <s v="Rojas "/>
    <s v="Abono"/>
    <d v="2025-05-14T00:00:00"/>
    <x v="1"/>
    <x v="4"/>
    <s v="NO"/>
    <n v="0"/>
    <n v="500000"/>
    <n v="0"/>
    <n v="500000"/>
    <n v="5"/>
    <n v="2025"/>
    <n v="1"/>
    <s v="Scotiabank"/>
    <n v="69995"/>
    <n v="2014"/>
    <s v="Mensual"/>
    <s v="Ahorro Adicional"/>
  </r>
  <r>
    <s v="AM149"/>
    <x v="8"/>
    <s v="Xiomara "/>
    <s v="Rojas "/>
    <s v="Abono"/>
    <d v="2025-05-14T00:00:00"/>
    <x v="1"/>
    <x v="5"/>
    <s v="NO"/>
    <n v="0"/>
    <n v="40000"/>
    <n v="0"/>
    <n v="40000"/>
    <n v="6"/>
    <n v="2025"/>
    <n v="1"/>
    <s v="Scotiabank"/>
    <n v="69995"/>
    <n v="2014"/>
    <s v="Mensual"/>
    <m/>
  </r>
  <r>
    <s v="AM150"/>
    <x v="8"/>
    <s v="Xiomara "/>
    <s v="Rojas "/>
    <s v="Abono"/>
    <d v="2025-05-14T00:00:00"/>
    <x v="1"/>
    <x v="5"/>
    <s v="NO"/>
    <n v="0"/>
    <n v="1061"/>
    <n v="0"/>
    <n v="1061"/>
    <n v="6"/>
    <n v="2025"/>
    <n v="1"/>
    <s v="Scotiabank"/>
    <n v="69995"/>
    <n v="2014"/>
    <s v="Mensual"/>
    <s v="Ahorro Adicional"/>
  </r>
  <r>
    <s v="AM147"/>
    <x v="14"/>
    <s v="Lady"/>
    <s v="Torres"/>
    <s v="Abono"/>
    <d v="2025-05-10T00:00:00"/>
    <x v="1"/>
    <x v="4"/>
    <s v="NO"/>
    <n v="0"/>
    <n v="100000"/>
    <n v="0"/>
    <n v="100000"/>
    <n v="5"/>
    <n v="2025"/>
    <n v="1"/>
    <s v="Nubank"/>
    <s v="850b7"/>
    <m/>
    <s v="Mensual"/>
    <m/>
  </r>
  <r>
    <s v="AM145"/>
    <x v="16"/>
    <s v="Maria Isabel "/>
    <s v="Diaz"/>
    <s v="Abono"/>
    <d v="2025-05-10T00:00:00"/>
    <x v="1"/>
    <x v="4"/>
    <s v="NO"/>
    <n v="0"/>
    <n v="50000"/>
    <n v="0"/>
    <n v="50000"/>
    <n v="5"/>
    <n v="2025"/>
    <n v="1"/>
    <s v="Nubank"/>
    <s v="da38f"/>
    <m/>
    <s v="Mensual"/>
    <m/>
  </r>
  <r>
    <s v="AM146"/>
    <x v="18"/>
    <s v="Vladimir "/>
    <s v="Escobar"/>
    <s v="Abono"/>
    <d v="2025-05-10T00:00:00"/>
    <x v="1"/>
    <x v="4"/>
    <s v="NO"/>
    <n v="0"/>
    <n v="100000"/>
    <n v="0"/>
    <n v="100000"/>
    <n v="5"/>
    <n v="2025"/>
    <n v="1"/>
    <s v="Nubank"/>
    <s v="4c18c3"/>
    <s v="VED227"/>
    <s v="Mensual"/>
    <m/>
  </r>
  <r>
    <s v="AM136"/>
    <x v="12"/>
    <s v="David "/>
    <s v="Camargo "/>
    <s v="Abono"/>
    <d v="2025-05-09T00:00:00"/>
    <x v="1"/>
    <x v="4"/>
    <s v="NO"/>
    <n v="0"/>
    <n v="20000"/>
    <n v="0"/>
    <n v="20000"/>
    <n v="5"/>
    <n v="2025"/>
    <n v="1"/>
    <s v="Bancolombia"/>
    <n v="42883"/>
    <m/>
    <s v="Mensual"/>
    <m/>
  </r>
  <r>
    <s v="AM137"/>
    <x v="12"/>
    <s v="David "/>
    <s v="Camargo "/>
    <s v="Abono"/>
    <d v="2025-05-09T00:00:00"/>
    <x v="1"/>
    <x v="4"/>
    <s v="NO"/>
    <n v="0"/>
    <n v="40000"/>
    <n v="0"/>
    <n v="40000"/>
    <n v="5"/>
    <n v="2025"/>
    <n v="1"/>
    <s v="Bancolombia"/>
    <n v="42883"/>
    <m/>
    <s v="Mensual"/>
    <s v="Ahorro Adicional"/>
  </r>
  <r>
    <s v="AM138"/>
    <x v="12"/>
    <s v="David "/>
    <s v="Camargo "/>
    <s v="Abono"/>
    <d v="2025-05-09T00:00:00"/>
    <x v="1"/>
    <x v="5"/>
    <s v="NO"/>
    <n v="0"/>
    <n v="20000"/>
    <n v="0"/>
    <n v="20000"/>
    <n v="6"/>
    <n v="2025"/>
    <n v="1"/>
    <s v="Bancolombia"/>
    <n v="42883"/>
    <m/>
    <s v="Mensual"/>
    <m/>
  </r>
  <r>
    <s v="AM139"/>
    <x v="12"/>
    <s v="David "/>
    <s v="Camargo "/>
    <s v="Abono"/>
    <d v="2025-05-09T00:00:00"/>
    <x v="1"/>
    <x v="6"/>
    <s v="NO"/>
    <n v="0"/>
    <n v="20000"/>
    <n v="0"/>
    <n v="20000"/>
    <n v="7"/>
    <n v="2025"/>
    <n v="1"/>
    <s v="Bancolombia"/>
    <n v="42883"/>
    <m/>
    <s v="Mensual"/>
    <m/>
  </r>
  <r>
    <s v="AM140"/>
    <x v="12"/>
    <s v="David "/>
    <s v="Camargo "/>
    <s v="Abono"/>
    <d v="2025-05-09T00:00:00"/>
    <x v="1"/>
    <x v="7"/>
    <s v="NO"/>
    <n v="0"/>
    <n v="20000"/>
    <n v="0"/>
    <n v="20000"/>
    <n v="8"/>
    <n v="2025"/>
    <n v="1"/>
    <s v="Bancolombia"/>
    <n v="42883"/>
    <m/>
    <s v="Mensual"/>
    <m/>
  </r>
  <r>
    <s v="AM141"/>
    <x v="12"/>
    <s v="David "/>
    <s v="Camargo "/>
    <s v="Abono"/>
    <d v="2025-05-09T00:00:00"/>
    <x v="1"/>
    <x v="8"/>
    <s v="NO"/>
    <n v="0"/>
    <n v="20000"/>
    <n v="0"/>
    <n v="20000"/>
    <n v="9"/>
    <n v="2025"/>
    <n v="1"/>
    <s v="Bancolombia"/>
    <n v="42883"/>
    <m/>
    <s v="Mensual"/>
    <m/>
  </r>
  <r>
    <s v="AM142"/>
    <x v="12"/>
    <s v="David "/>
    <s v="Camargo "/>
    <s v="Abono"/>
    <d v="2025-05-09T00:00:00"/>
    <x v="1"/>
    <x v="9"/>
    <s v="NO"/>
    <n v="0"/>
    <n v="20000"/>
    <n v="0"/>
    <n v="20000"/>
    <n v="10"/>
    <n v="2025"/>
    <n v="1"/>
    <s v="Bancolombia"/>
    <n v="42883"/>
    <m/>
    <s v="Mensual"/>
    <m/>
  </r>
  <r>
    <s v="AM143"/>
    <x v="12"/>
    <s v="David "/>
    <s v="Camargo "/>
    <s v="Abono"/>
    <d v="2025-05-09T00:00:00"/>
    <x v="1"/>
    <x v="10"/>
    <s v="NO"/>
    <n v="0"/>
    <n v="20000"/>
    <n v="0"/>
    <n v="20000"/>
    <n v="11"/>
    <n v="2025"/>
    <n v="1"/>
    <s v="Bancolombia"/>
    <n v="42883"/>
    <m/>
    <s v="Mensual"/>
    <m/>
  </r>
  <r>
    <s v="AM144"/>
    <x v="12"/>
    <s v="David "/>
    <s v="Camargo "/>
    <s v="Abono"/>
    <d v="2025-05-09T00:00:00"/>
    <x v="1"/>
    <x v="11"/>
    <s v="NO"/>
    <n v="0"/>
    <n v="20000"/>
    <n v="0"/>
    <n v="20000"/>
    <n v="12"/>
    <n v="2025"/>
    <n v="1"/>
    <s v="Bancolombia"/>
    <n v="42883"/>
    <m/>
    <s v="Mensual"/>
    <m/>
  </r>
  <r>
    <s v="AM127"/>
    <x v="13"/>
    <s v="Diana "/>
    <s v="Rojas "/>
    <s v="Abono"/>
    <d v="2025-05-09T00:00:00"/>
    <x v="1"/>
    <x v="4"/>
    <s v="NO"/>
    <n v="0"/>
    <n v="20000"/>
    <n v="0"/>
    <n v="20000"/>
    <n v="5"/>
    <n v="2025"/>
    <n v="1"/>
    <s v="Bancolombia"/>
    <n v="42883"/>
    <m/>
    <s v="Mensual"/>
    <m/>
  </r>
  <r>
    <s v="AM128"/>
    <x v="13"/>
    <s v="Diana "/>
    <s v="Rojas "/>
    <s v="Abono"/>
    <d v="2025-05-09T00:00:00"/>
    <x v="1"/>
    <x v="4"/>
    <s v="NO"/>
    <n v="0"/>
    <n v="40000"/>
    <n v="0"/>
    <n v="40000"/>
    <n v="5"/>
    <n v="2025"/>
    <n v="1"/>
    <s v="Bancolombia"/>
    <n v="42883"/>
    <m/>
    <s v="Mensual"/>
    <s v="Ahorro Adicional"/>
  </r>
  <r>
    <s v="AM129"/>
    <x v="13"/>
    <s v="Diana "/>
    <s v="Rojas "/>
    <s v="Abono"/>
    <d v="2025-05-09T00:00:00"/>
    <x v="1"/>
    <x v="5"/>
    <s v="NO"/>
    <n v="0"/>
    <n v="20000"/>
    <n v="0"/>
    <n v="20000"/>
    <n v="6"/>
    <n v="2025"/>
    <n v="1"/>
    <s v="Bancolombia"/>
    <n v="42883"/>
    <m/>
    <s v="Mensual"/>
    <m/>
  </r>
  <r>
    <s v="AM130"/>
    <x v="13"/>
    <s v="Diana "/>
    <s v="Rojas "/>
    <s v="Abono"/>
    <d v="2025-05-09T00:00:00"/>
    <x v="1"/>
    <x v="6"/>
    <s v="NO"/>
    <n v="0"/>
    <n v="20000"/>
    <n v="0"/>
    <n v="20000"/>
    <n v="7"/>
    <n v="2025"/>
    <n v="1"/>
    <s v="Bancolombia"/>
    <n v="42883"/>
    <m/>
    <s v="Mensual"/>
    <m/>
  </r>
  <r>
    <s v="AM131"/>
    <x v="13"/>
    <s v="Diana "/>
    <s v="Rojas "/>
    <s v="Abono"/>
    <d v="2025-05-09T00:00:00"/>
    <x v="1"/>
    <x v="7"/>
    <s v="NO"/>
    <n v="0"/>
    <n v="20000"/>
    <n v="0"/>
    <n v="20000"/>
    <n v="8"/>
    <n v="2025"/>
    <n v="1"/>
    <s v="Bancolombia"/>
    <n v="42883"/>
    <m/>
    <s v="Mensual"/>
    <m/>
  </r>
  <r>
    <s v="AM132"/>
    <x v="13"/>
    <s v="Diana "/>
    <s v="Rojas "/>
    <s v="Abono"/>
    <d v="2025-05-09T00:00:00"/>
    <x v="1"/>
    <x v="8"/>
    <s v="NO"/>
    <n v="0"/>
    <n v="20000"/>
    <n v="0"/>
    <n v="20000"/>
    <n v="9"/>
    <n v="2025"/>
    <n v="1"/>
    <s v="Bancolombia"/>
    <n v="42883"/>
    <m/>
    <s v="Mensual"/>
    <m/>
  </r>
  <r>
    <s v="AM133"/>
    <x v="13"/>
    <s v="Diana "/>
    <s v="Rojas "/>
    <s v="Abono"/>
    <d v="2025-05-09T00:00:00"/>
    <x v="1"/>
    <x v="9"/>
    <s v="NO"/>
    <n v="0"/>
    <n v="20000"/>
    <n v="0"/>
    <n v="20000"/>
    <n v="10"/>
    <n v="2025"/>
    <n v="1"/>
    <s v="Bancolombia"/>
    <n v="42883"/>
    <m/>
    <s v="Mensual"/>
    <m/>
  </r>
  <r>
    <s v="AM134"/>
    <x v="13"/>
    <s v="Diana "/>
    <s v="Rojas "/>
    <s v="Abono"/>
    <d v="2025-05-09T00:00:00"/>
    <x v="1"/>
    <x v="10"/>
    <s v="NO"/>
    <n v="0"/>
    <n v="20000"/>
    <n v="0"/>
    <n v="20000"/>
    <n v="11"/>
    <n v="2025"/>
    <n v="1"/>
    <s v="Bancolombia"/>
    <n v="42883"/>
    <m/>
    <s v="Mensual"/>
    <m/>
  </r>
  <r>
    <s v="AM135"/>
    <x v="13"/>
    <s v="Diana "/>
    <s v="Rojas "/>
    <s v="Abono"/>
    <d v="2025-05-09T00:00:00"/>
    <x v="1"/>
    <x v="11"/>
    <s v="NO"/>
    <n v="0"/>
    <n v="20000"/>
    <n v="0"/>
    <n v="20000"/>
    <n v="12"/>
    <n v="2025"/>
    <n v="1"/>
    <s v="Bancolombia"/>
    <n v="42883"/>
    <m/>
    <s v="Mensual"/>
    <m/>
  </r>
  <r>
    <s v="AM125"/>
    <x v="15"/>
    <s v="Laura "/>
    <s v="Sanchez"/>
    <s v="Abono"/>
    <d v="2025-05-09T00:00:00"/>
    <x v="1"/>
    <x v="4"/>
    <s v="NO"/>
    <n v="0"/>
    <n v="50000"/>
    <n v="0"/>
    <n v="50000"/>
    <n v="5"/>
    <n v="2025"/>
    <n v="1"/>
    <s v="GNB Sudameris"/>
    <n v="4209172"/>
    <n v="9030"/>
    <s v="Mensual"/>
    <m/>
  </r>
  <r>
    <s v="AM126"/>
    <x v="5"/>
    <s v="Leonardo "/>
    <s v="Rojas "/>
    <s v="Abono"/>
    <d v="2025-05-09T00:00:00"/>
    <x v="1"/>
    <x v="4"/>
    <s v="NO"/>
    <n v="0"/>
    <n v="50000"/>
    <n v="0"/>
    <n v="50000"/>
    <n v="5"/>
    <n v="2025"/>
    <n v="1"/>
    <s v="GNB Sudameris"/>
    <n v="4213503"/>
    <n v="8600"/>
    <s v="Mensual"/>
    <m/>
  </r>
  <r>
    <s v="AM124"/>
    <x v="4"/>
    <s v="Jesus Vladimir "/>
    <s v="Escobar"/>
    <s v="Abono"/>
    <d v="2025-05-08T00:00:00"/>
    <x v="1"/>
    <x v="4"/>
    <s v="NO"/>
    <n v="0"/>
    <n v="50000"/>
    <n v="0"/>
    <n v="50000"/>
    <n v="5"/>
    <n v="2025"/>
    <n v="1"/>
    <s v="Nequi"/>
    <m/>
    <m/>
    <s v="Mensual"/>
    <m/>
  </r>
  <r>
    <s v="AM123"/>
    <x v="0"/>
    <s v="Nicolas "/>
    <s v="Escobar"/>
    <s v="Abono"/>
    <d v="2025-05-08T00:00:00"/>
    <x v="1"/>
    <x v="4"/>
    <s v="NO"/>
    <n v="0"/>
    <n v="100000"/>
    <n v="0"/>
    <n v="100000"/>
    <n v="5"/>
    <n v="2025"/>
    <n v="1"/>
    <s v="Nequi"/>
    <m/>
    <m/>
    <s v="Mensual"/>
    <m/>
  </r>
  <r>
    <s v="AM117"/>
    <x v="11"/>
    <s v="Carolina "/>
    <s v="Caro"/>
    <s v="Abono"/>
    <d v="2025-05-05T00:00:00"/>
    <x v="1"/>
    <x v="4"/>
    <s v="NO"/>
    <n v="0"/>
    <n v="50000"/>
    <n v="0"/>
    <n v="50000"/>
    <n v="5"/>
    <n v="2025"/>
    <n v="1"/>
    <s v="Nubank"/>
    <s v="602ec44"/>
    <m/>
    <s v="Mensual"/>
    <m/>
  </r>
  <r>
    <s v="AM120"/>
    <x v="6"/>
    <s v="Doris "/>
    <s v="Pascuas "/>
    <s v="Abono"/>
    <d v="2025-05-05T00:00:00"/>
    <x v="1"/>
    <x v="4"/>
    <s v="NO"/>
    <n v="0"/>
    <n v="20000"/>
    <n v="0"/>
    <n v="20000"/>
    <n v="5"/>
    <n v="2025"/>
    <n v="1"/>
    <s v="Nequi"/>
    <m/>
    <m/>
    <s v="Mensual"/>
    <m/>
  </r>
  <r>
    <s v="AM121"/>
    <x v="6"/>
    <s v="Doris "/>
    <s v="Pascuas "/>
    <s v="Abono"/>
    <d v="2025-05-05T00:00:00"/>
    <x v="1"/>
    <x v="5"/>
    <s v="NO"/>
    <n v="0"/>
    <n v="20000"/>
    <n v="0"/>
    <n v="20000"/>
    <n v="6"/>
    <n v="2025"/>
    <n v="1"/>
    <s v="Nequi"/>
    <m/>
    <m/>
    <s v="Mensual"/>
    <m/>
  </r>
  <r>
    <s v="AM118"/>
    <x v="22"/>
    <s v="Edward "/>
    <s v="Rojas "/>
    <s v="Abono"/>
    <d v="2025-05-05T00:00:00"/>
    <x v="1"/>
    <x v="3"/>
    <s v="NO"/>
    <n v="0"/>
    <n v="20000"/>
    <n v="0"/>
    <n v="20000"/>
    <n v="4"/>
    <n v="2025"/>
    <n v="1"/>
    <s v="Nequi"/>
    <m/>
    <m/>
    <s v="Mensual"/>
    <s v="Penalizado"/>
  </r>
  <r>
    <s v="AM119"/>
    <x v="22"/>
    <s v="Edward "/>
    <s v="Rojas "/>
    <s v="Abono"/>
    <d v="2025-05-05T00:00:00"/>
    <x v="1"/>
    <x v="4"/>
    <s v="NO"/>
    <n v="0"/>
    <n v="20000"/>
    <n v="0"/>
    <n v="20000"/>
    <n v="5"/>
    <n v="2025"/>
    <n v="1"/>
    <s v="Nequi"/>
    <m/>
    <m/>
    <s v="Mensual"/>
    <m/>
  </r>
  <r>
    <s v="AM116"/>
    <x v="19"/>
    <s v="Paola "/>
    <s v="Rojas "/>
    <s v="Abono"/>
    <d v="2025-05-05T00:00:00"/>
    <x v="1"/>
    <x v="4"/>
    <s v="NO"/>
    <n v="0"/>
    <n v="200000"/>
    <n v="0"/>
    <n v="200000"/>
    <n v="5"/>
    <n v="2025"/>
    <n v="1"/>
    <s v="Nubank"/>
    <s v="ae329"/>
    <m/>
    <s v="Mensual"/>
    <m/>
  </r>
  <r>
    <s v="AM122"/>
    <x v="1"/>
    <s v="Juan Carlos "/>
    <s v="Tascon "/>
    <s v="Abono"/>
    <d v="2025-05-04T00:00:00"/>
    <x v="1"/>
    <x v="4"/>
    <s v="NO"/>
    <n v="0"/>
    <n v="18964.873249999946"/>
    <n v="0"/>
    <n v="18964.873249999946"/>
    <n v="5"/>
    <n v="2025"/>
    <n v="1"/>
    <s v="Nequi"/>
    <m/>
    <m/>
    <s v="Mensual"/>
    <s v="Pago Adicional "/>
  </r>
  <r>
    <s v="AM115"/>
    <x v="12"/>
    <s v="David "/>
    <s v="Camargo "/>
    <s v="Abono"/>
    <d v="2025-04-16T00:00:00"/>
    <x v="1"/>
    <x v="3"/>
    <s v="SI"/>
    <n v="0"/>
    <n v="100000"/>
    <n v="0"/>
    <n v="100000"/>
    <n v="4"/>
    <n v="2025"/>
    <n v="1"/>
    <s v="Bancolombia"/>
    <n v="23531"/>
    <n v="6438"/>
    <s v="Mensual"/>
    <s v="Penalizado"/>
  </r>
  <r>
    <s v="AM114"/>
    <x v="13"/>
    <s v="Diana "/>
    <s v="Rojas "/>
    <s v="Abono"/>
    <d v="2025-04-16T00:00:00"/>
    <x v="1"/>
    <x v="3"/>
    <s v="SI"/>
    <n v="0"/>
    <n v="100000"/>
    <n v="0"/>
    <n v="100000"/>
    <n v="4"/>
    <n v="2025"/>
    <n v="1"/>
    <s v="Bancolombia"/>
    <n v="23531"/>
    <n v="6438"/>
    <s v="Mensual"/>
    <s v="Penalizado"/>
  </r>
  <r>
    <s v="AM113"/>
    <x v="8"/>
    <s v="Xiomara "/>
    <s v="Rojas "/>
    <s v="Abono"/>
    <d v="2025-04-14T00:00:00"/>
    <x v="1"/>
    <x v="4"/>
    <s v="NO"/>
    <n v="0"/>
    <n v="40000"/>
    <n v="0"/>
    <n v="40000"/>
    <n v="5"/>
    <n v="2025"/>
    <n v="1"/>
    <s v="Scotiabank"/>
    <n v="90424"/>
    <n v="2014"/>
    <s v="Mensual"/>
    <m/>
  </r>
  <r>
    <s v="AM111"/>
    <x v="15"/>
    <s v="Laura "/>
    <s v="Sanchez"/>
    <s v="Abono"/>
    <d v="2025-04-10T00:00:00"/>
    <x v="1"/>
    <x v="3"/>
    <s v="NO"/>
    <n v="0"/>
    <n v="50000"/>
    <n v="0"/>
    <n v="50000"/>
    <n v="4"/>
    <n v="2025"/>
    <n v="1"/>
    <s v="GNB Sudameris"/>
    <n v="1980859"/>
    <n v="9030"/>
    <s v="Mensual"/>
    <m/>
  </r>
  <r>
    <s v="AM112"/>
    <x v="5"/>
    <s v="Leonardo "/>
    <s v="Rojas "/>
    <s v="Abono"/>
    <d v="2025-04-10T00:00:00"/>
    <x v="1"/>
    <x v="3"/>
    <s v="NO"/>
    <n v="0"/>
    <n v="50000"/>
    <n v="0"/>
    <n v="50000"/>
    <n v="4"/>
    <n v="2025"/>
    <n v="1"/>
    <s v="Nequi"/>
    <m/>
    <m/>
    <s v="Mensual"/>
    <m/>
  </r>
  <r>
    <s v="AM109"/>
    <x v="10"/>
    <s v="Beatriz"/>
    <s v="Tascon "/>
    <s v="Abono"/>
    <d v="2025-04-08T00:00:00"/>
    <x v="1"/>
    <x v="3"/>
    <s v="NO"/>
    <n v="0"/>
    <n v="220000"/>
    <n v="0"/>
    <n v="220000"/>
    <n v="4"/>
    <n v="2025"/>
    <n v="1"/>
    <s v="Nubank"/>
    <n v="57361"/>
    <n v="6852"/>
    <s v="Mensual"/>
    <m/>
  </r>
  <r>
    <s v="AM110"/>
    <x v="10"/>
    <s v="Beatriz"/>
    <s v="Tascon "/>
    <s v="Abono"/>
    <d v="2025-04-08T00:00:00"/>
    <x v="1"/>
    <x v="4"/>
    <s v="NO"/>
    <n v="0"/>
    <n v="220000"/>
    <n v="0"/>
    <n v="220000"/>
    <n v="5"/>
    <n v="2025"/>
    <n v="1"/>
    <s v="Nubank"/>
    <n v="57361"/>
    <n v="6852"/>
    <s v="Mensual"/>
    <m/>
  </r>
  <r>
    <s v="AM108"/>
    <x v="14"/>
    <s v="Lady"/>
    <s v="Torres"/>
    <s v="Abono"/>
    <d v="2025-04-07T00:00:00"/>
    <x v="1"/>
    <x v="3"/>
    <s v="NO"/>
    <n v="0"/>
    <n v="100000"/>
    <n v="0"/>
    <n v="100000"/>
    <n v="4"/>
    <n v="2025"/>
    <n v="1"/>
    <s v="Nubank"/>
    <s v="98a92"/>
    <m/>
    <s v="Mensual"/>
    <m/>
  </r>
  <r>
    <s v="AM107"/>
    <x v="16"/>
    <s v="Maria Isabel "/>
    <s v="Diaz"/>
    <s v="Abono"/>
    <d v="2025-04-07T00:00:00"/>
    <x v="1"/>
    <x v="3"/>
    <s v="NO"/>
    <n v="0"/>
    <n v="50000"/>
    <n v="0"/>
    <n v="50000"/>
    <n v="4"/>
    <n v="2025"/>
    <n v="1"/>
    <s v="Nubank"/>
    <s v="afa739"/>
    <m/>
    <s v="Mensual"/>
    <m/>
  </r>
  <r>
    <s v="AM106"/>
    <x v="18"/>
    <s v="Vladimir "/>
    <s v="Escobar"/>
    <s v="Abono"/>
    <d v="2025-04-07T00:00:00"/>
    <x v="1"/>
    <x v="3"/>
    <s v="NO"/>
    <n v="0"/>
    <n v="100000"/>
    <n v="0"/>
    <n v="100000"/>
    <n v="4"/>
    <n v="2025"/>
    <n v="1"/>
    <s v="Nubank"/>
    <s v="99d39e"/>
    <s v="VED227"/>
    <s v="Mensual"/>
    <m/>
  </r>
  <r>
    <s v="AM105"/>
    <x v="11"/>
    <s v="Carolina "/>
    <s v="Caro"/>
    <s v="Abono"/>
    <d v="2025-04-05T00:00:00"/>
    <x v="1"/>
    <x v="3"/>
    <s v="NO"/>
    <n v="0"/>
    <n v="50000"/>
    <n v="0"/>
    <n v="50000"/>
    <n v="4"/>
    <n v="2025"/>
    <n v="1"/>
    <s v="Nubank"/>
    <s v="8,16E32"/>
    <m/>
    <s v="Mensual"/>
    <m/>
  </r>
  <r>
    <s v="AM103"/>
    <x v="4"/>
    <s v="Jesus Vladimir "/>
    <s v="Escobar"/>
    <s v="Abono"/>
    <d v="2025-04-03T00:00:00"/>
    <x v="1"/>
    <x v="3"/>
    <s v="NO"/>
    <n v="0"/>
    <n v="50000"/>
    <n v="0"/>
    <n v="50000"/>
    <n v="4"/>
    <n v="2025"/>
    <n v="1"/>
    <s v="Nequi"/>
    <m/>
    <m/>
    <s v="Mensual"/>
    <m/>
  </r>
  <r>
    <s v="AM104"/>
    <x v="0"/>
    <s v="Nicolas "/>
    <s v="Escobar"/>
    <s v="Abono"/>
    <d v="2025-04-03T00:00:00"/>
    <x v="1"/>
    <x v="3"/>
    <s v="NO"/>
    <n v="0"/>
    <n v="100000"/>
    <n v="0"/>
    <n v="100000"/>
    <n v="4"/>
    <n v="2025"/>
    <n v="1"/>
    <s v="Nequi"/>
    <m/>
    <m/>
    <s v="Mensual"/>
    <m/>
  </r>
  <r>
    <s v="AM100"/>
    <x v="12"/>
    <s v="David "/>
    <s v="Camargo "/>
    <s v="Abono"/>
    <d v="2025-04-02T00:00:00"/>
    <x v="1"/>
    <x v="2"/>
    <s v="SI"/>
    <n v="0"/>
    <n v="100000"/>
    <n v="0"/>
    <n v="100000"/>
    <n v="3"/>
    <n v="2025"/>
    <n v="1"/>
    <s v="Bancolombia"/>
    <n v="20282"/>
    <n v="6438"/>
    <s v="Mensual"/>
    <s v="Penalizado"/>
  </r>
  <r>
    <s v="AM99"/>
    <x v="13"/>
    <s v="Diana "/>
    <s v="Rojas "/>
    <s v="Abono"/>
    <d v="2025-04-02T00:00:00"/>
    <x v="1"/>
    <x v="2"/>
    <s v="SI"/>
    <n v="0"/>
    <n v="100000"/>
    <n v="0"/>
    <n v="100000"/>
    <n v="3"/>
    <n v="2025"/>
    <n v="1"/>
    <s v="Bancolombia"/>
    <n v="20282"/>
    <n v="6438"/>
    <s v="Mensual"/>
    <s v="Penalizado"/>
  </r>
  <r>
    <s v="AM102"/>
    <x v="20"/>
    <s v="Fermin "/>
    <s v="Diaz"/>
    <s v="Abono"/>
    <d v="2025-04-02T00:00:00"/>
    <x v="1"/>
    <x v="2"/>
    <s v="NO"/>
    <n v="0"/>
    <n v="500000"/>
    <n v="0"/>
    <n v="500000"/>
    <n v="3"/>
    <n v="2025"/>
    <n v="1"/>
    <s v="Bancolombia"/>
    <n v="45442"/>
    <n v="6820"/>
    <s v="Mensual"/>
    <s v="Ahorro Adicional "/>
  </r>
  <r>
    <s v="AM101"/>
    <x v="19"/>
    <s v="Paola "/>
    <s v="Rojas "/>
    <s v="Abono"/>
    <d v="2025-03-31T00:00:00"/>
    <x v="1"/>
    <x v="3"/>
    <s v="NO"/>
    <n v="0"/>
    <n v="200000"/>
    <n v="0"/>
    <n v="200000"/>
    <n v="4"/>
    <n v="2025"/>
    <n v="1"/>
    <s v="Nubank"/>
    <s v="499f9e"/>
    <m/>
    <s v="Mensual"/>
    <m/>
  </r>
  <r>
    <s v="AM98"/>
    <x v="8"/>
    <s v="Xiomara "/>
    <s v="Rojas "/>
    <s v="Abono"/>
    <d v="2025-03-14T00:00:00"/>
    <x v="1"/>
    <x v="3"/>
    <s v="NO"/>
    <n v="0"/>
    <n v="46450"/>
    <n v="0"/>
    <n v="46450"/>
    <n v="4"/>
    <n v="2025"/>
    <n v="1"/>
    <s v="Scotiabank"/>
    <n v="174196893193700"/>
    <n v="2014"/>
    <s v="Mensual"/>
    <m/>
  </r>
  <r>
    <s v="AM96"/>
    <x v="4"/>
    <s v="Jesus Vladimir "/>
    <s v="Escobar"/>
    <s v="Abono"/>
    <d v="2025-03-11T00:00:00"/>
    <x v="1"/>
    <x v="2"/>
    <s v="NO"/>
    <n v="0"/>
    <n v="50000"/>
    <n v="0"/>
    <n v="50000"/>
    <n v="3"/>
    <n v="2025"/>
    <n v="1"/>
    <s v="Nequi"/>
    <s v="S16080495"/>
    <m/>
    <s v="Mensual"/>
    <m/>
  </r>
  <r>
    <s v="AM97"/>
    <x v="0"/>
    <s v="Nicolas "/>
    <s v="Escobar"/>
    <s v="Abono"/>
    <d v="2025-03-11T00:00:00"/>
    <x v="1"/>
    <x v="2"/>
    <s v="NO"/>
    <n v="0"/>
    <n v="100000"/>
    <n v="0"/>
    <n v="100000"/>
    <n v="3"/>
    <n v="2025"/>
    <n v="1"/>
    <s v="Nequi"/>
    <m/>
    <m/>
    <s v="Mensual"/>
    <m/>
  </r>
  <r>
    <s v="AM95"/>
    <x v="8"/>
    <s v="Xiomara "/>
    <s v="Rojas "/>
    <s v="Abono"/>
    <d v="2025-03-11T00:00:00"/>
    <x v="1"/>
    <x v="2"/>
    <s v="NO"/>
    <n v="0"/>
    <n v="500000"/>
    <n v="0"/>
    <n v="500000"/>
    <n v="3"/>
    <n v="2025"/>
    <n v="1"/>
    <s v="Scotiabank"/>
    <n v="123275"/>
    <n v="2014"/>
    <s v="Mensual"/>
    <s v="Ahorro Adicional"/>
  </r>
  <r>
    <s v="AM94"/>
    <x v="14"/>
    <s v="Lady"/>
    <s v="Torres"/>
    <s v="Abono"/>
    <d v="2025-03-10T00:00:00"/>
    <x v="1"/>
    <x v="2"/>
    <s v="NO"/>
    <n v="0"/>
    <n v="100000"/>
    <n v="0"/>
    <n v="100000"/>
    <n v="3"/>
    <n v="2025"/>
    <n v="1"/>
    <s v="Nubank"/>
    <s v="c8c838"/>
    <s v="VED227"/>
    <s v="Mensual"/>
    <m/>
  </r>
  <r>
    <s v="AM91"/>
    <x v="15"/>
    <s v="Laura "/>
    <s v="Sanchez"/>
    <s v="Abono"/>
    <d v="2025-03-10T00:00:00"/>
    <x v="1"/>
    <x v="2"/>
    <s v="NO"/>
    <n v="0"/>
    <n v="50000"/>
    <n v="0"/>
    <n v="50000"/>
    <n v="3"/>
    <n v="2025"/>
    <n v="1"/>
    <s v="GNB Sudameris"/>
    <n v="99443665"/>
    <n v="9030"/>
    <s v="Mensual"/>
    <m/>
  </r>
  <r>
    <s v="AM92"/>
    <x v="5"/>
    <s v="Leonardo "/>
    <s v="Rojas "/>
    <s v="Abono"/>
    <d v="2025-03-10T00:00:00"/>
    <x v="1"/>
    <x v="2"/>
    <s v="NO"/>
    <n v="0"/>
    <n v="50000"/>
    <n v="0"/>
    <n v="50000"/>
    <n v="3"/>
    <n v="2025"/>
    <n v="1"/>
    <s v="GNB Sudameris"/>
    <n v="9944190"/>
    <n v="8600"/>
    <s v="Mensual"/>
    <m/>
  </r>
  <r>
    <s v="AM93"/>
    <x v="18"/>
    <s v="Vladimir "/>
    <s v="Escobar"/>
    <s v="Abono"/>
    <d v="2025-03-10T00:00:00"/>
    <x v="1"/>
    <x v="2"/>
    <s v="NO"/>
    <n v="0"/>
    <n v="100000"/>
    <n v="0"/>
    <n v="100000"/>
    <n v="3"/>
    <n v="2025"/>
    <n v="1"/>
    <s v="Nubank"/>
    <s v="c8c838"/>
    <s v="VED227"/>
    <s v="Mensual"/>
    <m/>
  </r>
  <r>
    <s v="AM87"/>
    <x v="6"/>
    <s v="Doris "/>
    <s v="Pascuas "/>
    <s v="Abono"/>
    <d v="2025-03-06T00:00:00"/>
    <x v="1"/>
    <x v="2"/>
    <s v="NO"/>
    <n v="0"/>
    <n v="20000"/>
    <n v="0"/>
    <n v="20000"/>
    <n v="3"/>
    <n v="2025"/>
    <n v="1"/>
    <s v="GNB Sudameris"/>
    <n v="99139101"/>
    <n v="8600"/>
    <s v="Mensual"/>
    <m/>
  </r>
  <r>
    <s v="AM88"/>
    <x v="6"/>
    <s v="Doris "/>
    <s v="Pascuas "/>
    <s v="Abono"/>
    <d v="2025-03-06T00:00:00"/>
    <x v="1"/>
    <x v="3"/>
    <s v="NO"/>
    <n v="0"/>
    <n v="20000"/>
    <n v="0"/>
    <n v="20000"/>
    <n v="4"/>
    <n v="2025"/>
    <n v="1"/>
    <s v="GNB Sudameris"/>
    <n v="99139101"/>
    <n v="8600"/>
    <s v="Mensual"/>
    <m/>
  </r>
  <r>
    <s v="AM85"/>
    <x v="11"/>
    <s v="Carolina "/>
    <s v="Caro"/>
    <s v="Abono"/>
    <d v="2025-03-05T00:00:00"/>
    <x v="1"/>
    <x v="2"/>
    <s v="NO"/>
    <n v="0"/>
    <n v="50000"/>
    <n v="0"/>
    <n v="50000"/>
    <n v="3"/>
    <n v="2025"/>
    <n v="1"/>
    <s v="Nubank"/>
    <s v="5cf7ea08e549"/>
    <m/>
    <s v="Mensual"/>
    <m/>
  </r>
  <r>
    <s v="AM89"/>
    <x v="20"/>
    <s v="Fermin "/>
    <s v="Diaz"/>
    <s v="Abono"/>
    <d v="2025-03-05T00:00:00"/>
    <x v="1"/>
    <x v="2"/>
    <s v="NO"/>
    <n v="0"/>
    <n v="500000"/>
    <n v="0"/>
    <n v="500000"/>
    <n v="3"/>
    <n v="2025"/>
    <n v="1"/>
    <s v="Bancolombia"/>
    <n v="71955"/>
    <n v="6820"/>
    <s v="Mensual"/>
    <s v="Ahorro Adicional "/>
  </r>
  <r>
    <s v="AM86"/>
    <x v="1"/>
    <s v="Juan Carlos "/>
    <s v="Tascon "/>
    <s v="Abono"/>
    <d v="2025-03-05T00:00:00"/>
    <x v="1"/>
    <x v="2"/>
    <s v="NO"/>
    <n v="0"/>
    <n v="500000"/>
    <n v="0"/>
    <n v="500000"/>
    <n v="3"/>
    <n v="2025"/>
    <n v="1"/>
    <s v="Bancolombia"/>
    <s v="00008723"/>
    <s v="4118"/>
    <s v="Mensual"/>
    <s v="Ahorro Adicional"/>
  </r>
  <r>
    <s v="AM84"/>
    <x v="19"/>
    <s v="Paola "/>
    <s v="Rojas "/>
    <s v="Abono"/>
    <d v="2025-03-04T00:00:00"/>
    <x v="1"/>
    <x v="2"/>
    <s v="NO"/>
    <n v="0"/>
    <n v="200000"/>
    <n v="0"/>
    <n v="200000"/>
    <n v="3"/>
    <n v="2025"/>
    <n v="1"/>
    <s v="Nubank"/>
    <s v="97d820456d1d"/>
    <m/>
    <s v="Mensual"/>
    <m/>
  </r>
  <r>
    <s v="AM79"/>
    <x v="20"/>
    <s v="Fermin "/>
    <s v="Diaz"/>
    <s v="Abono"/>
    <d v="2025-02-18T00:00:00"/>
    <x v="1"/>
    <x v="0"/>
    <s v="NO"/>
    <n v="0"/>
    <n v="500000"/>
    <n v="0"/>
    <n v="500000"/>
    <n v="2"/>
    <n v="2025"/>
    <n v="1"/>
    <s v="Bancolombia"/>
    <n v="87854"/>
    <n v="6820"/>
    <s v="Mensual"/>
    <s v="Ahorro Adicional "/>
  </r>
  <r>
    <s v="AM80"/>
    <x v="14"/>
    <s v="Lady"/>
    <s v="Torres"/>
    <s v="Abono"/>
    <d v="2025-02-18T00:00:00"/>
    <x v="1"/>
    <x v="0"/>
    <s v="SI"/>
    <n v="0"/>
    <n v="107000"/>
    <n v="0"/>
    <n v="107000"/>
    <n v="2"/>
    <n v="2025"/>
    <n v="1"/>
    <s v="Nubank"/>
    <s v="e3dcca30"/>
    <m/>
    <s v="Mensual"/>
    <s v="Penalizado"/>
  </r>
  <r>
    <s v="AM69"/>
    <x v="21"/>
    <s v="Jose Antonio"/>
    <s v="Guerrero "/>
    <s v="Abono"/>
    <d v="2025-02-16T00:00:00"/>
    <x v="1"/>
    <x v="2"/>
    <s v="SI"/>
    <n v="0"/>
    <n v="20000"/>
    <n v="0"/>
    <n v="20000"/>
    <n v="3"/>
    <n v="2025"/>
    <n v="1"/>
    <s v="Nubank"/>
    <s v="4A5799AF"/>
    <m/>
    <s v="Mensual"/>
    <s v="Penalizado"/>
  </r>
  <r>
    <s v="AM70"/>
    <x v="21"/>
    <s v="Jose Antonio"/>
    <s v="Guerrero "/>
    <s v="Abono"/>
    <d v="2025-02-16T00:00:00"/>
    <x v="1"/>
    <x v="3"/>
    <s v="NO"/>
    <n v="0"/>
    <n v="20000"/>
    <n v="0"/>
    <n v="20000"/>
    <n v="4"/>
    <n v="2025"/>
    <n v="1"/>
    <s v="Nubank"/>
    <s v="4A5799AF"/>
    <m/>
    <s v="Mensual"/>
    <m/>
  </r>
  <r>
    <s v="AM71"/>
    <x v="21"/>
    <s v="Jose Antonio"/>
    <s v="Guerrero "/>
    <s v="Abono"/>
    <d v="2025-02-16T00:00:00"/>
    <x v="1"/>
    <x v="4"/>
    <s v="NO"/>
    <n v="0"/>
    <n v="20000"/>
    <n v="0"/>
    <n v="20000"/>
    <n v="5"/>
    <n v="2025"/>
    <n v="1"/>
    <s v="Nubank"/>
    <s v="4A5799AF"/>
    <m/>
    <s v="Mensual"/>
    <m/>
  </r>
  <r>
    <s v="AM72"/>
    <x v="21"/>
    <s v="Jose Antonio"/>
    <s v="Guerrero "/>
    <s v="Abono"/>
    <d v="2025-02-16T00:00:00"/>
    <x v="1"/>
    <x v="5"/>
    <s v="NO"/>
    <n v="0"/>
    <n v="20000"/>
    <n v="0"/>
    <n v="20000"/>
    <n v="6"/>
    <n v="2025"/>
    <n v="1"/>
    <s v="Nubank"/>
    <s v="4A5799AF"/>
    <m/>
    <s v="Mensual"/>
    <m/>
  </r>
  <r>
    <s v="AM73"/>
    <x v="21"/>
    <s v="Jose Antonio"/>
    <s v="Guerrero "/>
    <s v="Abono"/>
    <d v="2025-02-16T00:00:00"/>
    <x v="1"/>
    <x v="6"/>
    <s v="NO"/>
    <n v="0"/>
    <n v="20000"/>
    <n v="0"/>
    <n v="20000"/>
    <n v="7"/>
    <n v="2025"/>
    <n v="1"/>
    <s v="Nubank"/>
    <s v="4A5799AF"/>
    <m/>
    <s v="Mensual"/>
    <m/>
  </r>
  <r>
    <s v="AM74"/>
    <x v="21"/>
    <s v="Jose Antonio"/>
    <s v="Guerrero "/>
    <s v="Abono"/>
    <d v="2025-02-16T00:00:00"/>
    <x v="1"/>
    <x v="7"/>
    <s v="NO"/>
    <n v="0"/>
    <n v="20000"/>
    <n v="0"/>
    <n v="20000"/>
    <n v="8"/>
    <n v="2025"/>
    <n v="1"/>
    <s v="Nubank"/>
    <s v="4A5799AF"/>
    <m/>
    <s v="Mensual"/>
    <m/>
  </r>
  <r>
    <s v="AM75"/>
    <x v="21"/>
    <s v="Jose Antonio"/>
    <s v="Guerrero "/>
    <s v="Abono"/>
    <d v="2025-02-16T00:00:00"/>
    <x v="1"/>
    <x v="8"/>
    <s v="NO"/>
    <n v="0"/>
    <n v="20000"/>
    <n v="0"/>
    <n v="20000"/>
    <n v="9"/>
    <n v="2025"/>
    <n v="1"/>
    <s v="Nubank"/>
    <s v="4A5799AF"/>
    <m/>
    <s v="Mensual"/>
    <m/>
  </r>
  <r>
    <s v="AM76"/>
    <x v="21"/>
    <s v="Jose Antonio"/>
    <s v="Guerrero "/>
    <s v="Abono"/>
    <d v="2025-02-16T00:00:00"/>
    <x v="1"/>
    <x v="9"/>
    <s v="NO"/>
    <n v="0"/>
    <n v="20000"/>
    <n v="0"/>
    <n v="20000"/>
    <n v="10"/>
    <n v="2025"/>
    <n v="1"/>
    <s v="Nubank"/>
    <s v="4A5799AF"/>
    <m/>
    <s v="Mensual"/>
    <m/>
  </r>
  <r>
    <s v="AM77"/>
    <x v="21"/>
    <s v="Jose Antonio"/>
    <s v="Guerrero "/>
    <s v="Abono"/>
    <d v="2025-02-16T00:00:00"/>
    <x v="1"/>
    <x v="10"/>
    <s v="NO"/>
    <n v="0"/>
    <n v="20000"/>
    <n v="0"/>
    <n v="20000"/>
    <n v="11"/>
    <n v="2025"/>
    <n v="1"/>
    <s v="Nubank"/>
    <s v="4A5799AF"/>
    <m/>
    <s v="Mensual"/>
    <m/>
  </r>
  <r>
    <s v="AM78"/>
    <x v="21"/>
    <s v="Jose Antonio"/>
    <s v="Guerrero "/>
    <s v="Abono"/>
    <d v="2025-02-16T00:00:00"/>
    <x v="1"/>
    <x v="11"/>
    <s v="NO"/>
    <n v="0"/>
    <n v="20000"/>
    <n v="0"/>
    <n v="20000"/>
    <n v="12"/>
    <n v="2025"/>
    <n v="1"/>
    <s v="Nubank"/>
    <s v="4A5799AF"/>
    <m/>
    <s v="Mensual"/>
    <m/>
  </r>
  <r>
    <s v="AM68"/>
    <x v="8"/>
    <s v="Xiomara "/>
    <s v="Rojas "/>
    <s v="Abono"/>
    <d v="2025-02-15T00:00:00"/>
    <x v="1"/>
    <x v="2"/>
    <s v="NO"/>
    <n v="0"/>
    <n v="40000"/>
    <n v="0"/>
    <n v="40000"/>
    <n v="3"/>
    <n v="2025"/>
    <n v="1"/>
    <s v="Scotiabank"/>
    <n v="25183"/>
    <n v="2014"/>
    <s v="Mensual"/>
    <m/>
  </r>
  <r>
    <s v="AM66"/>
    <x v="22"/>
    <s v="Edward "/>
    <s v="Rojas "/>
    <s v="Abono"/>
    <d v="2025-02-13T00:00:00"/>
    <x v="1"/>
    <x v="0"/>
    <s v="NO"/>
    <n v="0"/>
    <n v="20000"/>
    <n v="0"/>
    <n v="20000"/>
    <n v="2"/>
    <n v="2025"/>
    <n v="1"/>
    <s v="Nequi"/>
    <n v="51498751"/>
    <m/>
    <s v="Mensual"/>
    <s v="Penalizado"/>
  </r>
  <r>
    <s v="AM67"/>
    <x v="22"/>
    <s v="Edward "/>
    <s v="Rojas "/>
    <s v="Abono"/>
    <d v="2025-02-13T00:00:00"/>
    <x v="1"/>
    <x v="2"/>
    <s v="NO"/>
    <n v="0"/>
    <n v="20000"/>
    <n v="0"/>
    <n v="20000"/>
    <n v="3"/>
    <n v="2025"/>
    <n v="1"/>
    <s v="Nequi"/>
    <n v="51498751"/>
    <m/>
    <s v="Mensual"/>
    <m/>
  </r>
  <r>
    <s v="AM64"/>
    <x v="4"/>
    <s v="Jesus Vladimir "/>
    <s v="Escobar"/>
    <s v="Abono"/>
    <d v="2025-02-11T00:00:00"/>
    <x v="1"/>
    <x v="0"/>
    <s v="NO"/>
    <n v="0"/>
    <n v="50000"/>
    <n v="0"/>
    <n v="50000"/>
    <n v="2"/>
    <n v="2025"/>
    <n v="1"/>
    <s v="Nequi"/>
    <m/>
    <m/>
    <s v="Mensual"/>
    <m/>
  </r>
  <r>
    <s v="AM65"/>
    <x v="0"/>
    <s v="Nicolas "/>
    <s v="Escobar"/>
    <s v="Abono"/>
    <d v="2025-02-11T00:00:00"/>
    <x v="1"/>
    <x v="0"/>
    <s v="NO"/>
    <n v="0"/>
    <n v="100000"/>
    <n v="0"/>
    <n v="100000"/>
    <n v="2"/>
    <n v="2025"/>
    <n v="1"/>
    <s v="Nequi"/>
    <m/>
    <m/>
    <s v="Mensual"/>
    <m/>
  </r>
  <r>
    <s v="AM62"/>
    <x v="15"/>
    <s v="Laura "/>
    <s v="Sanchez"/>
    <s v="Abono"/>
    <d v="2025-02-10T00:00:00"/>
    <x v="1"/>
    <x v="0"/>
    <s v="NO"/>
    <n v="0"/>
    <n v="50000"/>
    <n v="0"/>
    <n v="50000"/>
    <n v="2"/>
    <n v="2025"/>
    <n v="1"/>
    <s v="GNB Sudameris"/>
    <n v="97146816"/>
    <n v="9030"/>
    <s v="Mensual"/>
    <m/>
  </r>
  <r>
    <s v="AM63"/>
    <x v="5"/>
    <s v="Leonardo "/>
    <s v="Rojas "/>
    <s v="Abono"/>
    <d v="2025-02-10T00:00:00"/>
    <x v="1"/>
    <x v="0"/>
    <s v="NO"/>
    <n v="0"/>
    <n v="50000"/>
    <n v="0"/>
    <n v="50000"/>
    <n v="2"/>
    <n v="2025"/>
    <n v="1"/>
    <s v="GNB Sudameris"/>
    <n v="97146827"/>
    <n v="8600"/>
    <s v="Mensual"/>
    <m/>
  </r>
  <r>
    <s v="AM61"/>
    <x v="18"/>
    <s v="Vladimir "/>
    <s v="Escobar"/>
    <s v="Abono"/>
    <d v="2025-02-10T00:00:00"/>
    <x v="1"/>
    <x v="0"/>
    <s v="NO"/>
    <n v="0"/>
    <n v="100000"/>
    <n v="0"/>
    <n v="100000"/>
    <n v="2"/>
    <n v="2025"/>
    <n v="1"/>
    <s v="Nubank"/>
    <s v="67aa1319"/>
    <s v="VED227"/>
    <s v="Mensual"/>
    <m/>
  </r>
  <r>
    <s v="AM81"/>
    <x v="19"/>
    <s v="Paola "/>
    <s v="Rojas "/>
    <s v="Abono"/>
    <d v="2025-02-08T00:00:00"/>
    <x v="1"/>
    <x v="0"/>
    <s v="NO"/>
    <n v="0"/>
    <n v="200000"/>
    <n v="0"/>
    <n v="200000"/>
    <n v="2"/>
    <n v="2025"/>
    <n v="1"/>
    <s v="Nubank"/>
    <s v="90f1e641"/>
    <m/>
    <s v="Mensual"/>
    <m/>
  </r>
  <r>
    <s v="AM90"/>
    <x v="16"/>
    <s v="Maria Isabel "/>
    <s v="Diaz"/>
    <s v="Abono"/>
    <d v="2025-02-07T00:00:00"/>
    <x v="1"/>
    <x v="2"/>
    <s v="NO"/>
    <n v="0"/>
    <n v="50000"/>
    <n v="0"/>
    <n v="50000"/>
    <n v="3"/>
    <n v="2025"/>
    <n v="1"/>
    <s v="Nubank"/>
    <s v="7074bd"/>
    <m/>
    <s v="Mensual"/>
    <m/>
  </r>
  <r>
    <s v="AM60"/>
    <x v="16"/>
    <s v="Maria Isabel "/>
    <s v="Diaz"/>
    <s v="Abono"/>
    <d v="2025-02-06T00:00:00"/>
    <x v="1"/>
    <x v="0"/>
    <s v="NO"/>
    <n v="0"/>
    <n v="100000"/>
    <n v="0"/>
    <n v="100000"/>
    <n v="2"/>
    <n v="2025"/>
    <n v="1"/>
    <s v="Nubank"/>
    <n v="53995"/>
    <m/>
    <s v="Mensual"/>
    <m/>
  </r>
  <r>
    <s v="AM59"/>
    <x v="11"/>
    <s v="Carolina "/>
    <s v="Caro"/>
    <s v="Abono"/>
    <d v="2025-02-05T00:00:00"/>
    <x v="1"/>
    <x v="0"/>
    <s v="NO"/>
    <n v="0"/>
    <n v="50000"/>
    <n v="0"/>
    <n v="50000"/>
    <n v="2"/>
    <n v="2025"/>
    <n v="1"/>
    <s v="Nubank"/>
    <s v="c2175b2e"/>
    <m/>
    <s v="Mensual"/>
    <m/>
  </r>
  <r>
    <s v="AM58"/>
    <x v="8"/>
    <s v="Xiomara "/>
    <s v="Rojas "/>
    <s v="Abono"/>
    <d v="2025-01-24T00:00:00"/>
    <x v="1"/>
    <x v="0"/>
    <s v="NO"/>
    <n v="0"/>
    <n v="40000"/>
    <n v="0"/>
    <n v="40000"/>
    <n v="2"/>
    <n v="2025"/>
    <n v="1"/>
    <s v="Scotiabank"/>
    <n v="49379"/>
    <n v="2014"/>
    <s v="Mensual"/>
    <m/>
  </r>
  <r>
    <s v="AM45"/>
    <x v="10"/>
    <s v="Beatriz"/>
    <s v="Tascon "/>
    <s v="Abono"/>
    <d v="2025-01-10T00:00:00"/>
    <x v="1"/>
    <x v="0"/>
    <s v="NO"/>
    <n v="0"/>
    <n v="45000"/>
    <n v="0"/>
    <n v="45000"/>
    <n v="2"/>
    <n v="2025"/>
    <n v="1"/>
    <s v="Nubank"/>
    <s v="0f257691"/>
    <m/>
    <s v="Mensual"/>
    <m/>
  </r>
  <r>
    <s v="AM46"/>
    <x v="10"/>
    <s v="Beatriz"/>
    <s v="Tascon "/>
    <s v="Abono"/>
    <d v="2025-01-10T00:00:00"/>
    <x v="1"/>
    <x v="2"/>
    <s v="NO"/>
    <n v="0"/>
    <n v="45000"/>
    <n v="0"/>
    <n v="45000"/>
    <n v="3"/>
    <n v="2025"/>
    <n v="1"/>
    <s v="Nubank"/>
    <s v="0f257691"/>
    <m/>
    <s v="Mensual"/>
    <m/>
  </r>
  <r>
    <s v="AM47"/>
    <x v="22"/>
    <s v="Edward "/>
    <s v="Rojas "/>
    <s v="Abono"/>
    <d v="2025-01-10T00:00:00"/>
    <x v="1"/>
    <x v="1"/>
    <s v="NO"/>
    <n v="0"/>
    <n v="20000"/>
    <n v="0"/>
    <n v="20000"/>
    <n v="1"/>
    <n v="2025"/>
    <n v="1"/>
    <s v="GNB Sudameris"/>
    <n v="94610819"/>
    <n v="8600"/>
    <s v="Mensual"/>
    <m/>
  </r>
  <r>
    <s v="AM53"/>
    <x v="2"/>
    <s v="Gimena"/>
    <s v="Tascon "/>
    <s v="Abono"/>
    <d v="2025-01-10T00:00:00"/>
    <x v="1"/>
    <x v="0"/>
    <s v="NO"/>
    <n v="0"/>
    <n v="20000"/>
    <n v="0"/>
    <n v="20000"/>
    <n v="2"/>
    <n v="2025"/>
    <n v="1"/>
    <s v="Bancolombia"/>
    <n v="94203"/>
    <n v="8883"/>
    <s v="Mensual"/>
    <s v="Pago hasta Junio"/>
  </r>
  <r>
    <s v="AM54"/>
    <x v="2"/>
    <s v="Gimena"/>
    <s v="Tascon "/>
    <s v="Abono"/>
    <d v="2025-01-10T00:00:00"/>
    <x v="1"/>
    <x v="2"/>
    <s v="NO"/>
    <n v="0"/>
    <n v="20000"/>
    <n v="0"/>
    <n v="20000"/>
    <n v="3"/>
    <n v="2025"/>
    <n v="1"/>
    <s v="Bancolombia"/>
    <n v="94203"/>
    <n v="8883"/>
    <s v="Mensual"/>
    <s v="Pago hasta Junio"/>
  </r>
  <r>
    <s v="AM55"/>
    <x v="2"/>
    <s v="Gimena"/>
    <s v="Tascon "/>
    <s v="Abono"/>
    <d v="2025-01-10T00:00:00"/>
    <x v="1"/>
    <x v="3"/>
    <s v="NO"/>
    <n v="0"/>
    <n v="20000"/>
    <n v="0"/>
    <n v="20000"/>
    <n v="4"/>
    <n v="2025"/>
    <n v="1"/>
    <s v="Bancolombia"/>
    <n v="94203"/>
    <n v="8883"/>
    <s v="Mensual"/>
    <s v="Pago hasta Junio"/>
  </r>
  <r>
    <s v="AM56"/>
    <x v="2"/>
    <s v="Gimena"/>
    <s v="Tascon "/>
    <s v="Abono"/>
    <d v="2025-01-10T00:00:00"/>
    <x v="1"/>
    <x v="4"/>
    <s v="NO"/>
    <n v="0"/>
    <n v="20000"/>
    <n v="0"/>
    <n v="20000"/>
    <n v="5"/>
    <n v="2025"/>
    <n v="1"/>
    <s v="Bancolombia"/>
    <n v="94203"/>
    <n v="8883"/>
    <s v="Mensual"/>
    <s v="Pago hasta Junio"/>
  </r>
  <r>
    <s v="AM57"/>
    <x v="2"/>
    <s v="Gimena"/>
    <s v="Tascon "/>
    <s v="Abono"/>
    <d v="2025-01-10T00:00:00"/>
    <x v="1"/>
    <x v="5"/>
    <s v="NO"/>
    <n v="0"/>
    <n v="20000"/>
    <n v="0"/>
    <n v="20000"/>
    <n v="6"/>
    <n v="2025"/>
    <n v="1"/>
    <s v="Bancolombia"/>
    <n v="94203"/>
    <n v="8883"/>
    <s v="Mensual"/>
    <s v="Pago hasta Junio"/>
  </r>
  <r>
    <s v="AM48"/>
    <x v="3"/>
    <s v="Nicolas "/>
    <s v="Avila"/>
    <s v="Abono"/>
    <d v="2025-01-10T00:00:00"/>
    <x v="1"/>
    <x v="0"/>
    <s v="NO"/>
    <n v="0"/>
    <n v="20000"/>
    <n v="0"/>
    <n v="20000"/>
    <n v="2"/>
    <n v="2025"/>
    <n v="1"/>
    <s v="Bancolombia"/>
    <n v="94203"/>
    <n v="8883"/>
    <s v="Mensual"/>
    <s v="Pago hasta Junio"/>
  </r>
  <r>
    <s v="AM49"/>
    <x v="3"/>
    <s v="Nicolas "/>
    <s v="Avila"/>
    <s v="Abono"/>
    <d v="2025-01-10T00:00:00"/>
    <x v="1"/>
    <x v="2"/>
    <s v="NO"/>
    <n v="0"/>
    <n v="20000"/>
    <n v="0"/>
    <n v="20000"/>
    <n v="3"/>
    <n v="2025"/>
    <n v="1"/>
    <s v="Bancolombia"/>
    <n v="94203"/>
    <n v="8883"/>
    <s v="Mensual"/>
    <s v="Pago hasta Junio"/>
  </r>
  <r>
    <s v="AM50"/>
    <x v="3"/>
    <s v="Nicolas "/>
    <s v="Avila"/>
    <s v="Abono"/>
    <d v="2025-01-10T00:00:00"/>
    <x v="1"/>
    <x v="3"/>
    <s v="NO"/>
    <n v="0"/>
    <n v="20000"/>
    <n v="0"/>
    <n v="20000"/>
    <n v="4"/>
    <n v="2025"/>
    <n v="1"/>
    <s v="Bancolombia"/>
    <n v="94203"/>
    <n v="8883"/>
    <s v="Mensual"/>
    <s v="Pago hasta Junio"/>
  </r>
  <r>
    <s v="AM51"/>
    <x v="3"/>
    <s v="Nicolas "/>
    <s v="Avila"/>
    <s v="Abono"/>
    <d v="2025-01-10T00:00:00"/>
    <x v="1"/>
    <x v="4"/>
    <s v="NO"/>
    <n v="0"/>
    <n v="20000"/>
    <n v="0"/>
    <n v="20000"/>
    <n v="5"/>
    <n v="2025"/>
    <n v="1"/>
    <s v="Bancolombia"/>
    <n v="94203"/>
    <n v="8883"/>
    <s v="Mensual"/>
    <s v="Pago hasta Junio"/>
  </r>
  <r>
    <s v="AM52"/>
    <x v="3"/>
    <s v="Nicolas "/>
    <s v="Avila"/>
    <s v="Abono"/>
    <d v="2025-01-10T00:00:00"/>
    <x v="1"/>
    <x v="5"/>
    <s v="NO"/>
    <n v="0"/>
    <n v="20000"/>
    <n v="0"/>
    <n v="20000"/>
    <n v="6"/>
    <n v="2025"/>
    <n v="1"/>
    <s v="Bancolombia"/>
    <n v="94203"/>
    <n v="8883"/>
    <s v="Mensual"/>
    <s v="Pago hasta Junio"/>
  </r>
  <r>
    <s v="AM43"/>
    <x v="16"/>
    <s v="Maria Isabel "/>
    <s v="Diaz"/>
    <s v="Abono"/>
    <d v="2025-01-09T00:00:00"/>
    <x v="1"/>
    <x v="1"/>
    <s v="NO"/>
    <n v="0"/>
    <n v="50000"/>
    <n v="0"/>
    <n v="50000"/>
    <n v="1"/>
    <n v="2025"/>
    <n v="1"/>
    <s v="Nubank"/>
    <s v="b6c5c693"/>
    <m/>
    <s v="Mensual"/>
    <m/>
  </r>
  <r>
    <s v="AM44"/>
    <x v="18"/>
    <s v="Vladimir "/>
    <s v="Escobar"/>
    <s v="Abono"/>
    <d v="2025-01-09T00:00:00"/>
    <x v="1"/>
    <x v="1"/>
    <s v="NO"/>
    <n v="0"/>
    <n v="100000"/>
    <n v="0"/>
    <n v="100000"/>
    <n v="1"/>
    <n v="2025"/>
    <n v="1"/>
    <s v="Nubank"/>
    <n v="25583093"/>
    <s v="VED227"/>
    <s v="Mensual"/>
    <m/>
  </r>
  <r>
    <s v="AM39"/>
    <x v="21"/>
    <s v="Jose Antonio"/>
    <s v="Guerrero "/>
    <s v="Abono"/>
    <d v="2025-01-08T00:00:00"/>
    <x v="1"/>
    <x v="1"/>
    <s v="NO"/>
    <n v="0"/>
    <n v="20000"/>
    <n v="0"/>
    <n v="20000"/>
    <n v="1"/>
    <n v="2025"/>
    <n v="1"/>
    <s v="Nubank"/>
    <s v="4909ee69"/>
    <m/>
    <s v="Mensual"/>
    <m/>
  </r>
  <r>
    <s v="AM40"/>
    <x v="21"/>
    <s v="Jose Antonio"/>
    <s v="Guerrero "/>
    <s v="Abono"/>
    <d v="2025-01-08T00:00:00"/>
    <x v="1"/>
    <x v="0"/>
    <s v="NO"/>
    <n v="0"/>
    <n v="20000"/>
    <n v="0"/>
    <n v="20000"/>
    <n v="2"/>
    <n v="2025"/>
    <n v="1"/>
    <s v="Nubank"/>
    <s v="4909ee69"/>
    <m/>
    <s v="Mensual"/>
    <m/>
  </r>
  <r>
    <s v="AM42"/>
    <x v="14"/>
    <s v="Lady"/>
    <s v="Torres"/>
    <s v="Abono"/>
    <d v="2025-01-08T00:00:00"/>
    <x v="1"/>
    <x v="1"/>
    <s v="NO"/>
    <n v="0"/>
    <n v="100000"/>
    <n v="0"/>
    <n v="100000"/>
    <n v="1"/>
    <n v="2025"/>
    <n v="1"/>
    <s v="Nubank"/>
    <s v="0b8b5a74"/>
    <m/>
    <s v="Mensual"/>
    <m/>
  </r>
  <r>
    <s v="AM41"/>
    <x v="8"/>
    <s v="Xiomara "/>
    <s v="Rojas "/>
    <s v="Abono"/>
    <d v="2025-01-08T00:00:00"/>
    <x v="1"/>
    <x v="1"/>
    <s v="NO"/>
    <n v="0"/>
    <n v="40000"/>
    <n v="0"/>
    <n v="40000"/>
    <n v="1"/>
    <n v="2025"/>
    <n v="1"/>
    <s v="Scotiabank"/>
    <n v="18351"/>
    <n v="2014"/>
    <s v="Mensual"/>
    <m/>
  </r>
  <r>
    <s v="AM33"/>
    <x v="6"/>
    <s v="Doris "/>
    <s v="Pascuas "/>
    <s v="Abono"/>
    <d v="2025-01-07T00:00:00"/>
    <x v="1"/>
    <x v="1"/>
    <s v="NO"/>
    <n v="0"/>
    <n v="20000"/>
    <n v="0"/>
    <n v="20000"/>
    <n v="1"/>
    <n v="2025"/>
    <n v="1"/>
    <s v="GNB Sudameris"/>
    <n v="94370810"/>
    <n v="8600"/>
    <s v="Mensual"/>
    <m/>
  </r>
  <r>
    <s v="AM34"/>
    <x v="6"/>
    <s v="Doris "/>
    <s v="Pascuas "/>
    <s v="Abono"/>
    <d v="2025-01-07T00:00:00"/>
    <x v="1"/>
    <x v="0"/>
    <s v="NO"/>
    <n v="0"/>
    <n v="20000"/>
    <n v="0"/>
    <n v="20000"/>
    <n v="2"/>
    <n v="2025"/>
    <n v="1"/>
    <s v="GNB Sudameris"/>
    <n v="94370810"/>
    <n v="8600"/>
    <s v="Mensual"/>
    <m/>
  </r>
  <r>
    <s v="AM37"/>
    <x v="4"/>
    <s v="Jesus Vladimir "/>
    <s v="Escobar"/>
    <s v="Abono"/>
    <d v="2025-01-07T00:00:00"/>
    <x v="1"/>
    <x v="1"/>
    <s v="NO"/>
    <n v="0"/>
    <n v="50000"/>
    <n v="0"/>
    <n v="50000"/>
    <n v="1"/>
    <n v="2025"/>
    <n v="1"/>
    <s v="Nequi"/>
    <m/>
    <m/>
    <s v="Mensual"/>
    <m/>
  </r>
  <r>
    <s v="AM36"/>
    <x v="15"/>
    <s v="Laura "/>
    <s v="Sanchez"/>
    <s v="Abono"/>
    <d v="2025-01-07T00:00:00"/>
    <x v="1"/>
    <x v="1"/>
    <s v="NO"/>
    <n v="0"/>
    <n v="50000"/>
    <n v="0"/>
    <n v="50000"/>
    <n v="1"/>
    <n v="2025"/>
    <n v="1"/>
    <s v="GNB Sudameris"/>
    <n v="94370833"/>
    <n v="9030"/>
    <s v="Mensual"/>
    <m/>
  </r>
  <r>
    <s v="AM35"/>
    <x v="5"/>
    <s v="Leonardo "/>
    <s v="Rojas "/>
    <s v="Abono"/>
    <d v="2025-01-07T00:00:00"/>
    <x v="1"/>
    <x v="1"/>
    <s v="NO"/>
    <n v="0"/>
    <n v="50000"/>
    <n v="0"/>
    <n v="50000"/>
    <n v="1"/>
    <n v="2025"/>
    <n v="1"/>
    <s v="GNB Sudameris"/>
    <n v="94370821"/>
    <n v="8600"/>
    <s v="Mensual"/>
    <m/>
  </r>
  <r>
    <s v="AM38"/>
    <x v="0"/>
    <s v="Nicolas "/>
    <s v="Escobar"/>
    <s v="Abono"/>
    <d v="2025-01-07T00:00:00"/>
    <x v="1"/>
    <x v="1"/>
    <s v="NO"/>
    <n v="0"/>
    <n v="100000"/>
    <n v="0"/>
    <n v="100000"/>
    <n v="1"/>
    <n v="2025"/>
    <n v="1"/>
    <s v="Nequi"/>
    <m/>
    <m/>
    <s v="Mensual"/>
    <m/>
  </r>
  <r>
    <s v="AM32"/>
    <x v="11"/>
    <s v="Carolina "/>
    <s v="Caro"/>
    <s v="Abono"/>
    <d v="2025-01-05T00:00:00"/>
    <x v="1"/>
    <x v="1"/>
    <s v="NO"/>
    <n v="0"/>
    <n v="50000"/>
    <n v="0"/>
    <n v="50000"/>
    <n v="1"/>
    <n v="2025"/>
    <n v="1"/>
    <s v="Nubank"/>
    <s v="81e0beda"/>
    <m/>
    <s v="Mensual"/>
    <m/>
  </r>
  <r>
    <s v="AM31"/>
    <x v="19"/>
    <s v="Paola "/>
    <s v="Rojas "/>
    <s v="Abono"/>
    <d v="2025-01-03T00:00:00"/>
    <x v="1"/>
    <x v="1"/>
    <s v="NO"/>
    <n v="0"/>
    <n v="200000"/>
    <n v="0"/>
    <n v="200000"/>
    <n v="1"/>
    <n v="2025"/>
    <n v="1"/>
    <s v="Nubank"/>
    <s v="e70b66fc"/>
    <m/>
    <s v="Mensual"/>
    <m/>
  </r>
  <r>
    <s v="AM15"/>
    <x v="10"/>
    <s v="Beatriz"/>
    <s v="Tascon "/>
    <s v="Abono"/>
    <d v="2024-12-30T00:00:00"/>
    <x v="2"/>
    <x v="1"/>
    <s v="NO"/>
    <n v="0"/>
    <n v="2500"/>
    <n v="0"/>
    <n v="2500"/>
    <n v="1"/>
    <n v="2025"/>
    <n v="1"/>
    <s v="Nubank"/>
    <s v="32d86ecc"/>
    <m/>
    <s v="Mensual"/>
    <s v="consigno de mas"/>
  </r>
  <r>
    <s v="AM17"/>
    <x v="10"/>
    <s v="Beatriz"/>
    <s v="Tascon "/>
    <s v="Abono"/>
    <d v="2024-12-30T00:00:00"/>
    <x v="2"/>
    <x v="1"/>
    <s v="NO"/>
    <n v="0"/>
    <n v="100000"/>
    <n v="0"/>
    <n v="100000"/>
    <n v="1"/>
    <n v="2025"/>
    <n v="1"/>
    <s v="Nubank"/>
    <s v="32d86ecc"/>
    <m/>
    <s v="Mensual"/>
    <m/>
  </r>
  <r>
    <s v="PEN02"/>
    <x v="10"/>
    <s v="Beatriz"/>
    <s v="Tascon "/>
    <s v="Descuento Total Anual Penalizacion"/>
    <d v="2024-12-30T00:00:00"/>
    <x v="2"/>
    <x v="1"/>
    <m/>
    <m/>
    <n v="-8000"/>
    <n v="0"/>
    <n v="-8000"/>
    <n v="1"/>
    <n v="2025"/>
    <n v="1"/>
    <m/>
    <m/>
    <m/>
    <s v="Anual"/>
    <s v="8 Dias Descuentos Penalizacion"/>
  </r>
  <r>
    <s v="AM16"/>
    <x v="13"/>
    <s v="Diana "/>
    <s v="Rojas "/>
    <s v="Abono"/>
    <d v="2024-12-30T00:00:00"/>
    <x v="2"/>
    <x v="1"/>
    <s v="NO"/>
    <n v="0"/>
    <n v="100000"/>
    <n v="0"/>
    <n v="100000"/>
    <n v="1"/>
    <n v="2025"/>
    <n v="1"/>
    <s v="Bancolombia"/>
    <s v="814113"/>
    <n v="6438"/>
    <s v="Mensual"/>
    <m/>
  </r>
  <r>
    <s v="AM13"/>
    <x v="2"/>
    <s v="Gimena"/>
    <s v="Tascon "/>
    <s v="Abono"/>
    <d v="2024-12-28T00:00:00"/>
    <x v="2"/>
    <x v="1"/>
    <s v="NO"/>
    <n v="0"/>
    <n v="20000"/>
    <n v="0"/>
    <n v="20000"/>
    <n v="1"/>
    <n v="2025"/>
    <n v="1"/>
    <s v="Bancolombia"/>
    <s v="76612"/>
    <s v="8083"/>
    <s v="Mensual"/>
    <m/>
  </r>
  <r>
    <s v="AM14"/>
    <x v="3"/>
    <s v="Nicolas "/>
    <s v="Avila"/>
    <s v="Abono"/>
    <d v="2024-12-28T00:00:00"/>
    <x v="2"/>
    <x v="1"/>
    <s v="NO"/>
    <n v="0"/>
    <n v="20000"/>
    <n v="0"/>
    <n v="20000"/>
    <n v="1"/>
    <n v="2025"/>
    <n v="1"/>
    <s v="Bancolombia"/>
    <s v="76612"/>
    <s v="8083"/>
    <s v="Mensual"/>
    <m/>
  </r>
  <r>
    <s v="AM30"/>
    <x v="12"/>
    <s v="David "/>
    <s v="Camargo "/>
    <s v="Abono"/>
    <d v="2024-12-27T00:00:00"/>
    <x v="2"/>
    <x v="1"/>
    <s v="NO"/>
    <n v="0"/>
    <n v="100000"/>
    <n v="0"/>
    <n v="100000"/>
    <n v="1"/>
    <n v="2025"/>
    <n v="1"/>
    <s v="Bancolombia"/>
    <s v="0000051542"/>
    <n v="3406"/>
    <s v="Mensual"/>
    <m/>
  </r>
  <r>
    <s v="AM1"/>
    <x v="20"/>
    <s v="Fermin "/>
    <s v="Diaz"/>
    <s v="Abono"/>
    <d v="2024-12-27T00:00:00"/>
    <x v="2"/>
    <x v="1"/>
    <s v="NO"/>
    <n v="0"/>
    <n v="20000"/>
    <n v="0"/>
    <n v="20000"/>
    <n v="1"/>
    <n v="2025"/>
    <n v="1"/>
    <s v="BBVA"/>
    <s v="000000001"/>
    <s v="0508"/>
    <s v="Anual"/>
    <s v="Pago Todo El año"/>
  </r>
  <r>
    <s v="AM10"/>
    <x v="20"/>
    <s v="Fermin "/>
    <s v="Diaz"/>
    <s v="Abono"/>
    <d v="2024-12-27T00:00:00"/>
    <x v="2"/>
    <x v="9"/>
    <s v="NO"/>
    <n v="0"/>
    <n v="20000"/>
    <n v="0"/>
    <n v="20000"/>
    <n v="10"/>
    <n v="2025"/>
    <n v="1"/>
    <s v="BBVA"/>
    <s v="000000001"/>
    <s v="0508"/>
    <s v="Anual"/>
    <s v="Pago Todo El año"/>
  </r>
  <r>
    <s v="AM11"/>
    <x v="20"/>
    <s v="Fermin "/>
    <s v="Diaz"/>
    <s v="Abono"/>
    <d v="2024-12-27T00:00:00"/>
    <x v="2"/>
    <x v="10"/>
    <s v="NO"/>
    <n v="0"/>
    <n v="20000"/>
    <n v="0"/>
    <n v="20000"/>
    <n v="11"/>
    <n v="2025"/>
    <n v="1"/>
    <s v="BBVA"/>
    <s v="000000001"/>
    <s v="0508"/>
    <s v="Anual"/>
    <s v="Pago Todo El año"/>
  </r>
  <r>
    <s v="AM12"/>
    <x v="20"/>
    <s v="Fermin "/>
    <s v="Diaz"/>
    <s v="Abono"/>
    <d v="2024-12-27T00:00:00"/>
    <x v="2"/>
    <x v="11"/>
    <s v="NO"/>
    <n v="0"/>
    <n v="20000"/>
    <n v="0"/>
    <n v="20000"/>
    <n v="12"/>
    <n v="2025"/>
    <n v="1"/>
    <s v="BBVA"/>
    <s v="000000001"/>
    <s v="0508"/>
    <s v="Anual"/>
    <s v="Pago Todo El año"/>
  </r>
  <r>
    <s v="AM2"/>
    <x v="20"/>
    <s v="Fermin "/>
    <s v="Diaz"/>
    <s v="Abono"/>
    <d v="2024-12-27T00:00:00"/>
    <x v="2"/>
    <x v="0"/>
    <s v="NO"/>
    <n v="0"/>
    <n v="20000"/>
    <n v="0"/>
    <n v="20000"/>
    <n v="2"/>
    <n v="2025"/>
    <n v="1"/>
    <s v="BBVA"/>
    <s v="000000001"/>
    <s v="0508"/>
    <s v="Anual"/>
    <s v="Pago Todo El año"/>
  </r>
  <r>
    <s v="AM3"/>
    <x v="20"/>
    <s v="Fermin "/>
    <s v="Diaz"/>
    <s v="Abono"/>
    <d v="2024-12-27T00:00:00"/>
    <x v="2"/>
    <x v="2"/>
    <s v="NO"/>
    <n v="0"/>
    <n v="20000"/>
    <n v="0"/>
    <n v="20000"/>
    <n v="3"/>
    <n v="2025"/>
    <n v="1"/>
    <s v="BBVA"/>
    <s v="000000001"/>
    <s v="0508"/>
    <s v="Anual"/>
    <s v="Pago Todo El año"/>
  </r>
  <r>
    <s v="AM4"/>
    <x v="20"/>
    <s v="Fermin "/>
    <s v="Diaz"/>
    <s v="Abono"/>
    <d v="2024-12-27T00:00:00"/>
    <x v="2"/>
    <x v="3"/>
    <s v="NO"/>
    <n v="0"/>
    <n v="20000"/>
    <n v="0"/>
    <n v="20000"/>
    <n v="4"/>
    <n v="2025"/>
    <n v="1"/>
    <s v="BBVA"/>
    <s v="000000001"/>
    <s v="0508"/>
    <s v="Anual"/>
    <s v="Pago Todo El año"/>
  </r>
  <r>
    <s v="AM5"/>
    <x v="20"/>
    <s v="Fermin "/>
    <s v="Diaz"/>
    <s v="Abono"/>
    <d v="2024-12-27T00:00:00"/>
    <x v="2"/>
    <x v="4"/>
    <s v="NO"/>
    <n v="0"/>
    <n v="20000"/>
    <n v="0"/>
    <n v="20000"/>
    <n v="5"/>
    <n v="2025"/>
    <n v="1"/>
    <s v="BBVA"/>
    <s v="000000001"/>
    <s v="0508"/>
    <s v="Anual"/>
    <s v="Pago Todo El año"/>
  </r>
  <r>
    <s v="AM6"/>
    <x v="20"/>
    <s v="Fermin "/>
    <s v="Diaz"/>
    <s v="Abono"/>
    <d v="2024-12-27T00:00:00"/>
    <x v="2"/>
    <x v="5"/>
    <s v="NO"/>
    <n v="0"/>
    <n v="20000"/>
    <n v="0"/>
    <n v="20000"/>
    <n v="6"/>
    <n v="2025"/>
    <n v="1"/>
    <s v="BBVA"/>
    <s v="000000001"/>
    <s v="0508"/>
    <s v="Anual"/>
    <s v="Pago Todo El año"/>
  </r>
  <r>
    <s v="AM7"/>
    <x v="20"/>
    <s v="Fermin "/>
    <s v="Diaz"/>
    <s v="Abono"/>
    <d v="2024-12-27T00:00:00"/>
    <x v="2"/>
    <x v="6"/>
    <s v="NO"/>
    <n v="0"/>
    <n v="20000"/>
    <n v="0"/>
    <n v="20000"/>
    <n v="7"/>
    <n v="2025"/>
    <n v="1"/>
    <s v="BBVA"/>
    <s v="000000001"/>
    <s v="0508"/>
    <s v="Anual"/>
    <s v="Pago Todo El año"/>
  </r>
  <r>
    <s v="AM8"/>
    <x v="20"/>
    <s v="Fermin "/>
    <s v="Diaz"/>
    <s v="Abono"/>
    <d v="2024-12-27T00:00:00"/>
    <x v="2"/>
    <x v="7"/>
    <s v="NO"/>
    <n v="0"/>
    <n v="20000"/>
    <n v="0"/>
    <n v="20000"/>
    <n v="8"/>
    <n v="2025"/>
    <n v="1"/>
    <s v="BBVA"/>
    <s v="000000001"/>
    <s v="0508"/>
    <s v="Anual"/>
    <s v="Pago Todo El año"/>
  </r>
  <r>
    <s v="AM9"/>
    <x v="20"/>
    <s v="Fermin "/>
    <s v="Diaz"/>
    <s v="Abono"/>
    <d v="2024-12-27T00:00:00"/>
    <x v="2"/>
    <x v="8"/>
    <s v="NO"/>
    <n v="0"/>
    <n v="20000"/>
    <n v="0"/>
    <n v="20000"/>
    <n v="9"/>
    <n v="2025"/>
    <n v="1"/>
    <s v="BBVA"/>
    <s v="000000001"/>
    <s v="0508"/>
    <s v="Anual"/>
    <s v="Pago Todo El año"/>
  </r>
  <r>
    <s v="AM18"/>
    <x v="1"/>
    <s v="Juan Carlos "/>
    <s v="Tascon "/>
    <s v="Abono"/>
    <d v="2024-12-27T00:00:00"/>
    <x v="2"/>
    <x v="1"/>
    <s v="NO"/>
    <n v="0"/>
    <n v="20000"/>
    <n v="0"/>
    <n v="20000"/>
    <n v="1"/>
    <n v="2025"/>
    <n v="1"/>
    <s v="Daviplata"/>
    <s v="00339157"/>
    <s v="6752"/>
    <s v="Anual"/>
    <s v="Pago Todo El año"/>
  </r>
  <r>
    <s v="AM19"/>
    <x v="1"/>
    <s v="Juan Carlos "/>
    <s v="Tascon "/>
    <s v="Abono"/>
    <d v="2024-12-27T00:00:00"/>
    <x v="2"/>
    <x v="0"/>
    <s v="NO"/>
    <n v="0"/>
    <n v="20000"/>
    <n v="0"/>
    <n v="20000"/>
    <n v="2"/>
    <n v="2025"/>
    <n v="1"/>
    <s v="Daviplata"/>
    <s v="00339157"/>
    <s v="6752"/>
    <s v="Anual"/>
    <s v="Pago Todo El año"/>
  </r>
  <r>
    <s v="AM20"/>
    <x v="1"/>
    <s v="Juan Carlos "/>
    <s v="Tascon "/>
    <s v="Abono"/>
    <d v="2024-12-27T00:00:00"/>
    <x v="2"/>
    <x v="2"/>
    <s v="NO"/>
    <n v="0"/>
    <n v="20000"/>
    <n v="0"/>
    <n v="20000"/>
    <n v="3"/>
    <n v="2025"/>
    <n v="1"/>
    <s v="Daviplata"/>
    <s v="00339157"/>
    <s v="6752"/>
    <s v="Anual"/>
    <s v="Pago Todo El año"/>
  </r>
  <r>
    <s v="AM21"/>
    <x v="1"/>
    <s v="Juan Carlos "/>
    <s v="Tascon "/>
    <s v="Abono"/>
    <d v="2024-12-27T00:00:00"/>
    <x v="2"/>
    <x v="3"/>
    <s v="NO"/>
    <n v="0"/>
    <n v="20000"/>
    <n v="0"/>
    <n v="20000"/>
    <n v="4"/>
    <n v="2025"/>
    <n v="1"/>
    <s v="Daviplata"/>
    <s v="00339157"/>
    <s v="6752"/>
    <s v="Anual"/>
    <s v="Pago Todo El año"/>
  </r>
  <r>
    <s v="AM22"/>
    <x v="1"/>
    <s v="Juan Carlos "/>
    <s v="Tascon "/>
    <s v="Abono"/>
    <d v="2024-12-27T00:00:00"/>
    <x v="2"/>
    <x v="4"/>
    <s v="NO"/>
    <n v="0"/>
    <n v="20000"/>
    <n v="0"/>
    <n v="20000"/>
    <n v="5"/>
    <n v="2025"/>
    <n v="1"/>
    <s v="Daviplata"/>
    <s v="00339157"/>
    <s v="6752"/>
    <s v="Anual"/>
    <s v="Pago Todo El año"/>
  </r>
  <r>
    <s v="AM23"/>
    <x v="1"/>
    <s v="Juan Carlos "/>
    <s v="Tascon "/>
    <s v="Abono"/>
    <d v="2024-12-27T00:00:00"/>
    <x v="2"/>
    <x v="5"/>
    <s v="NO"/>
    <n v="0"/>
    <n v="20000"/>
    <n v="0"/>
    <n v="20000"/>
    <n v="6"/>
    <n v="2025"/>
    <n v="1"/>
    <s v="Daviplata"/>
    <s v="00339157"/>
    <s v="6752"/>
    <s v="Anual"/>
    <s v="Pago Todo El año"/>
  </r>
  <r>
    <s v="AM24"/>
    <x v="1"/>
    <s v="Juan Carlos "/>
    <s v="Tascon "/>
    <s v="Abono"/>
    <d v="2024-12-27T00:00:00"/>
    <x v="2"/>
    <x v="6"/>
    <s v="NO"/>
    <n v="0"/>
    <n v="20000"/>
    <n v="0"/>
    <n v="20000"/>
    <n v="7"/>
    <n v="2025"/>
    <n v="1"/>
    <s v="Daviplata"/>
    <s v="00339157"/>
    <s v="6752"/>
    <s v="Anual"/>
    <s v="Pago Todo El año"/>
  </r>
  <r>
    <s v="AM25"/>
    <x v="1"/>
    <s v="Juan Carlos "/>
    <s v="Tascon "/>
    <s v="Abono"/>
    <d v="2024-12-27T00:00:00"/>
    <x v="2"/>
    <x v="7"/>
    <s v="NO"/>
    <n v="0"/>
    <n v="20000"/>
    <n v="0"/>
    <n v="20000"/>
    <n v="8"/>
    <n v="2025"/>
    <n v="1"/>
    <s v="Daviplata"/>
    <s v="00339157"/>
    <s v="6752"/>
    <s v="Anual"/>
    <s v="Pago Todo El año"/>
  </r>
  <r>
    <s v="AM26"/>
    <x v="1"/>
    <s v="Juan Carlos "/>
    <s v="Tascon "/>
    <s v="Abono"/>
    <d v="2024-12-27T00:00:00"/>
    <x v="2"/>
    <x v="8"/>
    <s v="NO"/>
    <n v="0"/>
    <n v="20000"/>
    <n v="0"/>
    <n v="20000"/>
    <n v="9"/>
    <n v="2025"/>
    <n v="1"/>
    <s v="Daviplata"/>
    <s v="00339157"/>
    <s v="6752"/>
    <s v="Anual"/>
    <s v="Pago Todo El año"/>
  </r>
  <r>
    <s v="AM27"/>
    <x v="1"/>
    <s v="Juan Carlos "/>
    <s v="Tascon "/>
    <s v="Abono"/>
    <d v="2024-12-27T00:00:00"/>
    <x v="2"/>
    <x v="9"/>
    <s v="NO"/>
    <n v="0"/>
    <n v="20000"/>
    <n v="0"/>
    <n v="20000"/>
    <n v="10"/>
    <n v="2025"/>
    <n v="1"/>
    <s v="Daviplata"/>
    <s v="00339157"/>
    <s v="6752"/>
    <s v="Anual"/>
    <s v="Pago Todo El año"/>
  </r>
  <r>
    <s v="AM28"/>
    <x v="1"/>
    <s v="Juan Carlos "/>
    <s v="Tascon "/>
    <s v="Abono"/>
    <d v="2024-12-27T00:00:00"/>
    <x v="2"/>
    <x v="10"/>
    <s v="NO"/>
    <n v="0"/>
    <n v="20000"/>
    <n v="0"/>
    <n v="20000"/>
    <n v="11"/>
    <n v="2025"/>
    <n v="1"/>
    <s v="Daviplata"/>
    <s v="00339157"/>
    <s v="6752"/>
    <s v="Anual"/>
    <s v="Pago Todo El año"/>
  </r>
  <r>
    <s v="AM29"/>
    <x v="1"/>
    <s v="Juan Carlos "/>
    <s v="Tascon "/>
    <s v="Abono"/>
    <d v="2024-12-27T00:00:00"/>
    <x v="2"/>
    <x v="11"/>
    <s v="NO"/>
    <n v="0"/>
    <n v="20000"/>
    <n v="0"/>
    <n v="20000"/>
    <n v="12"/>
    <n v="2025"/>
    <n v="1"/>
    <s v="Daviplata"/>
    <s v="00339157"/>
    <s v="6752"/>
    <s v="Anual"/>
    <s v="Pago Todo El año"/>
  </r>
  <r>
    <s v="AM83"/>
    <x v="12"/>
    <s v="David "/>
    <s v="Camargo "/>
    <s v="Abono"/>
    <d v="2024-02-21T00:00:00"/>
    <x v="1"/>
    <x v="0"/>
    <s v="SI"/>
    <n v="0"/>
    <n v="100000"/>
    <n v="0"/>
    <n v="100000"/>
    <n v="2"/>
    <n v="2025"/>
    <n v="1"/>
    <s v="Bancolombia"/>
    <s v="42984"/>
    <n v="6438"/>
    <s v="Mensual"/>
    <s v="Penalizado"/>
  </r>
  <r>
    <s v="AM82"/>
    <x v="13"/>
    <s v="Diana "/>
    <s v="Rojas "/>
    <s v="Abono"/>
    <d v="2024-02-21T00:00:00"/>
    <x v="1"/>
    <x v="0"/>
    <s v="SI"/>
    <n v="0"/>
    <n v="100000"/>
    <n v="0"/>
    <n v="100000"/>
    <n v="2"/>
    <n v="2025"/>
    <n v="1"/>
    <s v="Bancolombia"/>
    <s v="42984"/>
    <n v="6438"/>
    <s v="Mensual"/>
    <s v="Penalizado"/>
  </r>
  <r>
    <s v="PEN01"/>
    <x v="22"/>
    <s v="Edward "/>
    <s v="Rojas "/>
    <s v="Descuento Total Anual Penalizacion"/>
    <d v="2025-12-01T00:00:00"/>
    <x v="1"/>
    <x v="11"/>
    <m/>
    <m/>
    <n v="-28000"/>
    <n v="0"/>
    <n v="-28000"/>
    <n v="12"/>
    <n v="2025"/>
    <n v="1"/>
    <m/>
    <m/>
    <m/>
    <s v="Anual"/>
    <s v="28 Dias Descuentos Penalizacion"/>
  </r>
  <r>
    <s v="PEN03"/>
    <x v="14"/>
    <s v="Lady"/>
    <s v="Torres"/>
    <s v="Descuento Total Anual Penalizacion"/>
    <d v="2025-12-01T00:00:00"/>
    <x v="1"/>
    <x v="11"/>
    <m/>
    <m/>
    <n v="-12000"/>
    <n v="0"/>
    <n v="-12000"/>
    <n v="12"/>
    <n v="2025"/>
    <n v="1"/>
    <m/>
    <m/>
    <m/>
    <s v="Anual"/>
    <s v="12 Dias Descuentos Penalizacion"/>
  </r>
  <r>
    <s v="PEN04"/>
    <x v="21"/>
    <s v="Jose Antonio"/>
    <s v="Guerrero "/>
    <s v="Descuento Total Anual Penalizacion"/>
    <d v="2025-12-01T00:00:00"/>
    <x v="1"/>
    <x v="11"/>
    <m/>
    <m/>
    <n v="-6000"/>
    <n v="0"/>
    <n v="-6000"/>
    <n v="12"/>
    <n v="2025"/>
    <n v="1"/>
    <m/>
    <m/>
    <m/>
    <s v="Anual"/>
    <s v="6 Dias Descuentos Penalizacion"/>
  </r>
  <r>
    <s v="PEN05"/>
    <x v="13"/>
    <s v="Diana "/>
    <s v="Rojas "/>
    <s v="Descuento Total Anual Penalizacion"/>
    <d v="2025-12-01T00:00:00"/>
    <x v="1"/>
    <x v="11"/>
    <m/>
    <m/>
    <n v="-39000"/>
    <n v="0"/>
    <n v="-39000"/>
    <n v="12"/>
    <n v="2025"/>
    <n v="1"/>
    <m/>
    <m/>
    <m/>
    <s v="Anual"/>
    <s v="39 Dias Descuentos Penalizacion"/>
  </r>
  <r>
    <s v="PEN06"/>
    <x v="12"/>
    <s v="David "/>
    <s v="Camargo "/>
    <s v="Descuento Total Anual Penalizacion"/>
    <d v="2025-12-01T00:00:00"/>
    <x v="1"/>
    <x v="11"/>
    <m/>
    <m/>
    <n v="-39000"/>
    <n v="0"/>
    <n v="-39000"/>
    <n v="12"/>
    <n v="2025"/>
    <n v="1"/>
    <m/>
    <m/>
    <m/>
    <s v="Anual"/>
    <s v="39 Dias Descuentos Penalizacion"/>
  </r>
  <r>
    <s v="PEN07"/>
    <x v="2"/>
    <s v="Gimena"/>
    <s v="Tascon "/>
    <s v="Descuento Total Anual Penalizacion"/>
    <d v="2025-12-01T00:00:00"/>
    <x v="1"/>
    <x v="11"/>
    <m/>
    <m/>
    <n v="-40000"/>
    <n v="0"/>
    <n v="-40000"/>
    <n v="12"/>
    <n v="2025"/>
    <n v="1"/>
    <m/>
    <m/>
    <m/>
    <s v="Anual"/>
    <s v="40 Dias Descuentos Penalizacion"/>
  </r>
  <r>
    <s v="PEN08"/>
    <x v="3"/>
    <s v="Nicolas "/>
    <s v="Avila"/>
    <s v="Descuento Total Anual Penalizacion"/>
    <d v="2025-12-01T00:00:00"/>
    <x v="1"/>
    <x v="11"/>
    <m/>
    <m/>
    <n v="-40000"/>
    <n v="0"/>
    <n v="-40000"/>
    <n v="12"/>
    <n v="2025"/>
    <n v="1"/>
    <m/>
    <m/>
    <m/>
    <s v="Anual"/>
    <s v="40 Dias Descuentos Penalizacion"/>
  </r>
  <r>
    <m/>
    <x v="23"/>
    <m/>
    <m/>
    <m/>
    <m/>
    <x v="3"/>
    <x v="1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DEF7A-95F9-430A-855A-CC12171EABC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24" firstHeaderRow="1" firstDataRow="1" firstDataCol="1" rowPageCount="1" colPageCount="1"/>
  <pivotFields count="21">
    <pivotField showAll="0"/>
    <pivotField axis="axisRow" showAll="0" defaultSubtotal="0">
      <items count="24">
        <item x="18"/>
        <item x="5"/>
        <item x="8"/>
        <item x="14"/>
        <item x="1"/>
        <item x="6"/>
        <item x="15"/>
        <item x="19"/>
        <item x="0"/>
        <item x="4"/>
        <item x="22"/>
        <item x="12"/>
        <item x="11"/>
        <item x="2"/>
        <item x="21"/>
        <item x="16"/>
        <item x="3"/>
        <item x="20"/>
        <item x="10"/>
        <item x="13"/>
        <item h="1" x="23"/>
        <item h="1" x="7"/>
        <item h="1" x="9"/>
        <item h="1" x="17"/>
      </items>
    </pivotField>
    <pivotField showAll="0" defaultSubtotal="0"/>
    <pivotField showAll="0" defaultSubtotal="0"/>
    <pivotField showAll="0"/>
    <pivotField showAll="0"/>
    <pivotField showAll="0"/>
    <pivotField axis="axisPage" multipleItemSelectionAllowed="1" showAl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7" hier="-1"/>
  </pageFields>
  <dataFields count="1">
    <dataField name="Suma de Valor Ahorrado" fld="12" baseField="0" baseItem="0"/>
  </dataFields>
  <formats count="20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6BB1-A64D-4CC9-B2D0-72B60368BA8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0:O52" firstHeaderRow="1" firstDataRow="2" firstDataCol="1" rowPageCount="1" colPageCount="1"/>
  <pivotFields count="21">
    <pivotField showAll="0"/>
    <pivotField axis="axisRow" showAll="0" defaultSubtotal="0">
      <items count="24">
        <item x="18"/>
        <item x="5"/>
        <item x="8"/>
        <item x="14"/>
        <item x="1"/>
        <item x="6"/>
        <item x="15"/>
        <item x="19"/>
        <item x="0"/>
        <item x="4"/>
        <item x="22"/>
        <item x="12"/>
        <item x="11"/>
        <item x="2"/>
        <item x="21"/>
        <item x="16"/>
        <item x="3"/>
        <item x="20"/>
        <item x="10"/>
        <item x="13"/>
        <item h="1" x="23"/>
        <item h="1" x="7"/>
        <item h="1" x="9"/>
        <item h="1" x="17"/>
      </items>
    </pivotField>
    <pivotField showAll="0" defaultSubtotal="0"/>
    <pivotField showAll="0" defaultSubtotal="0"/>
    <pivotField showAll="0"/>
    <pivotField showAll="0"/>
    <pivotField axis="axisPage" multipleItemSelectionAllowed="1" showAll="0">
      <items count="5">
        <item x="2"/>
        <item x="1"/>
        <item h="1" x="0"/>
        <item h="1" x="3"/>
        <item t="default"/>
      </items>
    </pivotField>
    <pivotField axis="axisCol" showAl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6" hier="-1"/>
  </pageFields>
  <dataFields count="1">
    <dataField name="Suma de Valor Ahorrado" fld="12" baseField="0" baseItem="0" numFmtId="164"/>
  </dataFields>
  <formats count="26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outline="0" collapsedLevelsAreSubtotals="1" fieldPosition="0">
        <references count="1">
          <reference field="7" count="4" selected="0">
            <x v="0"/>
            <x v="1"/>
            <x v="2"/>
            <x v="3"/>
          </reference>
        </references>
      </pivotArea>
    </format>
    <format dxfId="27">
      <pivotArea dataOnly="0" labelOnly="1" fieldPosition="0">
        <references count="1">
          <reference field="7" count="4">
            <x v="0"/>
            <x v="1"/>
            <x v="2"/>
            <x v="3"/>
          </reference>
        </references>
      </pivotArea>
    </format>
    <format dxfId="26">
      <pivotArea outline="0" collapsedLevelsAreSubtotals="1" fieldPosition="0">
        <references count="1">
          <reference field="7" count="4" selected="0">
            <x v="4"/>
            <x v="5"/>
            <x v="6"/>
            <x v="7"/>
          </reference>
        </references>
      </pivotArea>
    </format>
    <format dxfId="25">
      <pivotArea dataOnly="0" labelOnly="1" fieldPosition="0">
        <references count="1">
          <reference field="7" count="4">
            <x v="4"/>
            <x v="5"/>
            <x v="6"/>
            <x v="7"/>
          </reference>
        </references>
      </pivotArea>
    </format>
    <format dxfId="24">
      <pivotArea outline="0" collapsedLevelsAreSubtotals="1" fieldPosition="0">
        <references count="1">
          <reference field="7" count="4" selected="0">
            <x v="8"/>
            <x v="9"/>
            <x v="10"/>
            <x v="11"/>
          </reference>
        </references>
      </pivotArea>
    </format>
    <format dxfId="23">
      <pivotArea dataOnly="0" labelOnly="1" fieldPosition="0">
        <references count="1">
          <reference field="7" count="4"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pago" xr10:uid="{46D817AF-10F8-48E9-A2F4-5B15AA6E7FF6}" sourceName="Mes pago">
  <pivotTables>
    <pivotTable tabId="5" name="TablaDinámica2"/>
  </pivotTables>
  <data>
    <tabular pivotCacheId="326668849">
      <items count="13">
        <i x="1" s="1"/>
        <i x="0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pago" xr10:uid="{2CBF82F8-4AB2-4314-A9D3-FD08C445DD7D}" cache="SegmentaciónDeDatos_Mes_pago" caption="Mes pago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1"/>
  <sheetViews>
    <sheetView tabSelected="1" zoomScale="140" zoomScaleNormal="140" workbookViewId="0">
      <pane ySplit="1" topLeftCell="A2" activePane="bottomLeft" state="frozen"/>
      <selection pane="bottomLeft" activeCell="A2" sqref="A2:XFD9"/>
    </sheetView>
  </sheetViews>
  <sheetFormatPr baseColWidth="10" defaultRowHeight="15" x14ac:dyDescent="0.25"/>
  <cols>
    <col min="1" max="5" width="11.42578125" style="1"/>
    <col min="6" max="6" width="11.42578125" style="2"/>
    <col min="7" max="10" width="11.42578125" style="1"/>
    <col min="11" max="13" width="11.42578125" style="7"/>
    <col min="14" max="15" width="11.42578125" style="9"/>
    <col min="16" max="16384" width="11.42578125" style="1"/>
  </cols>
  <sheetData>
    <row r="1" spans="1:21" x14ac:dyDescent="0.25">
      <c r="A1" s="3" t="s">
        <v>15</v>
      </c>
      <c r="B1" s="3" t="s">
        <v>1</v>
      </c>
      <c r="C1" s="3" t="s">
        <v>11</v>
      </c>
      <c r="D1" s="3" t="s">
        <v>12</v>
      </c>
      <c r="E1" s="3" t="s">
        <v>13</v>
      </c>
      <c r="F1" s="4" t="s">
        <v>18</v>
      </c>
      <c r="G1" s="3" t="s">
        <v>102</v>
      </c>
      <c r="H1" s="3" t="s">
        <v>101</v>
      </c>
      <c r="I1" s="3" t="s">
        <v>126</v>
      </c>
      <c r="J1" s="3" t="s">
        <v>128</v>
      </c>
      <c r="K1" s="6" t="s">
        <v>29</v>
      </c>
      <c r="L1" s="6" t="s">
        <v>129</v>
      </c>
      <c r="M1" s="6" t="s">
        <v>130</v>
      </c>
      <c r="N1" s="8" t="s">
        <v>50</v>
      </c>
      <c r="O1" s="8" t="s">
        <v>100</v>
      </c>
      <c r="P1" s="3" t="s">
        <v>0</v>
      </c>
      <c r="Q1" s="3" t="s">
        <v>19</v>
      </c>
      <c r="R1" s="11" t="s">
        <v>21</v>
      </c>
      <c r="S1" s="3" t="s">
        <v>20</v>
      </c>
      <c r="T1" s="3" t="s">
        <v>27</v>
      </c>
      <c r="U1" s="3" t="s">
        <v>30</v>
      </c>
    </row>
    <row r="2" spans="1:21" x14ac:dyDescent="0.25">
      <c r="A2" s="1" t="s">
        <v>635</v>
      </c>
      <c r="B2" s="1" t="s">
        <v>636</v>
      </c>
      <c r="C2" s="1" t="s">
        <v>637</v>
      </c>
      <c r="D2" s="1" t="s">
        <v>399</v>
      </c>
      <c r="E2" s="1" t="s">
        <v>26</v>
      </c>
      <c r="F2" s="1" t="s">
        <v>638</v>
      </c>
      <c r="G2" s="1">
        <v>2026</v>
      </c>
      <c r="H2" s="1" t="s">
        <v>4</v>
      </c>
      <c r="I2" s="1" t="s">
        <v>127</v>
      </c>
      <c r="J2" s="1">
        <v>0</v>
      </c>
      <c r="K2" s="58">
        <v>100000</v>
      </c>
      <c r="L2" s="58">
        <v>0</v>
      </c>
      <c r="M2" s="58">
        <v>100000</v>
      </c>
      <c r="N2" s="1" t="s">
        <v>630</v>
      </c>
      <c r="O2" s="1">
        <v>2026</v>
      </c>
      <c r="P2" s="1">
        <v>1</v>
      </c>
      <c r="Q2" s="1" t="s">
        <v>639</v>
      </c>
      <c r="R2" s="1" t="s">
        <v>640</v>
      </c>
      <c r="S2" s="1" t="s">
        <v>632</v>
      </c>
      <c r="T2" s="1" t="s">
        <v>36</v>
      </c>
      <c r="U2" s="1" t="s">
        <v>633</v>
      </c>
    </row>
    <row r="3" spans="1:21" x14ac:dyDescent="0.25">
      <c r="A3" s="1" t="s">
        <v>641</v>
      </c>
      <c r="B3" s="1" t="s">
        <v>642</v>
      </c>
      <c r="C3" s="1" t="s">
        <v>544</v>
      </c>
      <c r="D3" s="1" t="s">
        <v>643</v>
      </c>
      <c r="E3" s="1" t="s">
        <v>26</v>
      </c>
      <c r="F3" s="1" t="s">
        <v>638</v>
      </c>
      <c r="G3" s="1">
        <v>2026</v>
      </c>
      <c r="H3" s="1" t="s">
        <v>4</v>
      </c>
      <c r="I3" s="1" t="s">
        <v>127</v>
      </c>
      <c r="J3" s="1">
        <v>0</v>
      </c>
      <c r="K3" s="58">
        <v>50000</v>
      </c>
      <c r="L3" s="58">
        <v>0</v>
      </c>
      <c r="M3" s="58">
        <v>50000</v>
      </c>
      <c r="N3" s="1" t="s">
        <v>630</v>
      </c>
      <c r="O3" s="1">
        <v>2026</v>
      </c>
      <c r="P3" s="1">
        <v>1</v>
      </c>
      <c r="Q3" s="1" t="s">
        <v>644</v>
      </c>
      <c r="R3" s="1" t="s">
        <v>645</v>
      </c>
      <c r="S3" s="1" t="s">
        <v>646</v>
      </c>
      <c r="T3" s="1" t="s">
        <v>36</v>
      </c>
      <c r="U3" s="1" t="s">
        <v>633</v>
      </c>
    </row>
    <row r="4" spans="1:21" x14ac:dyDescent="0.25">
      <c r="A4" s="1" t="s">
        <v>647</v>
      </c>
      <c r="B4" s="1" t="s">
        <v>630</v>
      </c>
      <c r="C4" s="1" t="s">
        <v>648</v>
      </c>
      <c r="D4" s="1" t="s">
        <v>643</v>
      </c>
      <c r="E4" s="1" t="s">
        <v>26</v>
      </c>
      <c r="F4" s="1" t="s">
        <v>638</v>
      </c>
      <c r="G4" s="1">
        <v>2026</v>
      </c>
      <c r="H4" s="1" t="s">
        <v>4</v>
      </c>
      <c r="I4" s="1" t="s">
        <v>127</v>
      </c>
      <c r="J4" s="1">
        <v>0</v>
      </c>
      <c r="K4" s="58">
        <v>100000</v>
      </c>
      <c r="L4" s="58">
        <v>0</v>
      </c>
      <c r="M4" s="58">
        <v>100000</v>
      </c>
      <c r="N4" s="1" t="s">
        <v>630</v>
      </c>
      <c r="O4" s="1">
        <v>2026</v>
      </c>
      <c r="P4" s="1">
        <v>1</v>
      </c>
      <c r="Q4" s="1" t="s">
        <v>644</v>
      </c>
      <c r="R4" s="1" t="s">
        <v>649</v>
      </c>
      <c r="S4" s="1" t="s">
        <v>650</v>
      </c>
      <c r="T4" s="1" t="s">
        <v>36</v>
      </c>
      <c r="U4" s="1" t="s">
        <v>633</v>
      </c>
    </row>
    <row r="5" spans="1:21" x14ac:dyDescent="0.25">
      <c r="A5" s="1" t="s">
        <v>651</v>
      </c>
      <c r="B5" s="1" t="s">
        <v>652</v>
      </c>
      <c r="C5" s="1" t="s">
        <v>653</v>
      </c>
      <c r="D5" s="1" t="s">
        <v>346</v>
      </c>
      <c r="E5" s="1" t="s">
        <v>26</v>
      </c>
      <c r="F5" s="1" t="s">
        <v>638</v>
      </c>
      <c r="G5" s="1">
        <v>2026</v>
      </c>
      <c r="H5" s="1" t="s">
        <v>4</v>
      </c>
      <c r="I5" s="1" t="s">
        <v>127</v>
      </c>
      <c r="J5" s="1">
        <v>0</v>
      </c>
      <c r="K5" s="58">
        <v>500000</v>
      </c>
      <c r="L5" s="58">
        <v>0</v>
      </c>
      <c r="M5" s="58">
        <v>500000</v>
      </c>
      <c r="N5" s="1" t="s">
        <v>630</v>
      </c>
      <c r="O5" s="1">
        <v>2026</v>
      </c>
      <c r="P5" s="1">
        <v>1</v>
      </c>
      <c r="Q5" s="1" t="s">
        <v>654</v>
      </c>
      <c r="R5" s="1" t="s">
        <v>655</v>
      </c>
      <c r="S5" s="1" t="s">
        <v>656</v>
      </c>
      <c r="T5" s="1" t="s">
        <v>36</v>
      </c>
      <c r="U5" s="1" t="s">
        <v>633</v>
      </c>
    </row>
    <row r="6" spans="1:21" x14ac:dyDescent="0.25">
      <c r="A6" s="1" t="s">
        <v>657</v>
      </c>
      <c r="B6" s="1" t="s">
        <v>658</v>
      </c>
      <c r="C6" s="1" t="s">
        <v>659</v>
      </c>
      <c r="D6" s="1" t="s">
        <v>660</v>
      </c>
      <c r="E6" s="1" t="s">
        <v>26</v>
      </c>
      <c r="F6" s="1" t="s">
        <v>638</v>
      </c>
      <c r="G6" s="1">
        <v>2026</v>
      </c>
      <c r="H6" s="1" t="s">
        <v>4</v>
      </c>
      <c r="I6" s="1" t="s">
        <v>127</v>
      </c>
      <c r="J6" s="1">
        <v>0</v>
      </c>
      <c r="K6" s="58">
        <v>100000</v>
      </c>
      <c r="L6" s="58">
        <v>0</v>
      </c>
      <c r="M6" s="58">
        <v>100000</v>
      </c>
      <c r="N6" s="1" t="s">
        <v>630</v>
      </c>
      <c r="O6" s="1">
        <v>2026</v>
      </c>
      <c r="P6" s="1">
        <v>1</v>
      </c>
      <c r="Q6" s="1" t="s">
        <v>661</v>
      </c>
      <c r="R6" s="1" t="s">
        <v>662</v>
      </c>
      <c r="S6" s="1" t="s">
        <v>663</v>
      </c>
      <c r="T6" s="1" t="s">
        <v>36</v>
      </c>
      <c r="U6" s="1" t="s">
        <v>633</v>
      </c>
    </row>
    <row r="7" spans="1:21" x14ac:dyDescent="0.25">
      <c r="A7" s="1" t="s">
        <v>664</v>
      </c>
      <c r="B7" s="1" t="s">
        <v>665</v>
      </c>
      <c r="C7" s="1" t="s">
        <v>572</v>
      </c>
      <c r="D7" s="1" t="s">
        <v>643</v>
      </c>
      <c r="E7" s="1" t="s">
        <v>26</v>
      </c>
      <c r="F7" s="1" t="s">
        <v>638</v>
      </c>
      <c r="G7" s="1">
        <v>2026</v>
      </c>
      <c r="H7" s="1" t="s">
        <v>4</v>
      </c>
      <c r="I7" s="1" t="s">
        <v>127</v>
      </c>
      <c r="J7" s="1">
        <v>0</v>
      </c>
      <c r="K7" s="58">
        <v>50000</v>
      </c>
      <c r="L7" s="58">
        <v>0</v>
      </c>
      <c r="M7" s="58">
        <v>50000</v>
      </c>
      <c r="N7" s="1" t="s">
        <v>630</v>
      </c>
      <c r="O7" s="1">
        <v>2026</v>
      </c>
      <c r="P7" s="1">
        <v>1</v>
      </c>
      <c r="Q7" s="1" t="s">
        <v>661</v>
      </c>
      <c r="R7" s="1" t="s">
        <v>666</v>
      </c>
      <c r="S7" s="1" t="s">
        <v>663</v>
      </c>
      <c r="T7" s="1" t="s">
        <v>36</v>
      </c>
      <c r="U7" s="1" t="s">
        <v>633</v>
      </c>
    </row>
    <row r="8" spans="1:21" x14ac:dyDescent="0.25">
      <c r="A8" s="1" t="s">
        <v>667</v>
      </c>
      <c r="B8" s="1" t="s">
        <v>668</v>
      </c>
      <c r="C8" s="1" t="s">
        <v>669</v>
      </c>
      <c r="D8" s="1" t="s">
        <v>346</v>
      </c>
      <c r="E8" s="1" t="s">
        <v>26</v>
      </c>
      <c r="F8" s="1" t="s">
        <v>638</v>
      </c>
      <c r="G8" s="1">
        <v>2026</v>
      </c>
      <c r="H8" s="1" t="s">
        <v>4</v>
      </c>
      <c r="I8" s="1" t="s">
        <v>127</v>
      </c>
      <c r="J8" s="1">
        <v>0</v>
      </c>
      <c r="K8" s="58">
        <v>100000</v>
      </c>
      <c r="L8" s="58">
        <v>0</v>
      </c>
      <c r="M8" s="58">
        <v>100000</v>
      </c>
      <c r="N8" s="1" t="s">
        <v>630</v>
      </c>
      <c r="O8" s="1">
        <v>2026</v>
      </c>
      <c r="P8" s="1">
        <v>1</v>
      </c>
      <c r="Q8" s="1" t="s">
        <v>84</v>
      </c>
      <c r="R8" s="1" t="s">
        <v>632</v>
      </c>
      <c r="S8" s="1" t="s">
        <v>632</v>
      </c>
      <c r="T8" s="1" t="s">
        <v>36</v>
      </c>
      <c r="U8" s="1" t="s">
        <v>633</v>
      </c>
    </row>
    <row r="9" spans="1:21" x14ac:dyDescent="0.25">
      <c r="A9" s="1" t="s">
        <v>670</v>
      </c>
      <c r="B9" s="1" t="s">
        <v>671</v>
      </c>
      <c r="C9" s="1" t="s">
        <v>672</v>
      </c>
      <c r="D9" s="1" t="s">
        <v>643</v>
      </c>
      <c r="E9" s="1" t="s">
        <v>26</v>
      </c>
      <c r="F9" s="1" t="s">
        <v>638</v>
      </c>
      <c r="G9" s="1">
        <v>2026</v>
      </c>
      <c r="H9" s="1" t="s">
        <v>4</v>
      </c>
      <c r="I9" s="1" t="s">
        <v>127</v>
      </c>
      <c r="J9" s="1">
        <v>0</v>
      </c>
      <c r="K9" s="58">
        <v>100000</v>
      </c>
      <c r="L9" s="58">
        <v>0</v>
      </c>
      <c r="M9" s="58">
        <v>100000</v>
      </c>
      <c r="N9" s="1" t="s">
        <v>630</v>
      </c>
      <c r="O9" s="1">
        <v>2026</v>
      </c>
      <c r="P9" s="1">
        <v>1</v>
      </c>
      <c r="Q9" s="1" t="s">
        <v>639</v>
      </c>
      <c r="R9" s="1" t="s">
        <v>673</v>
      </c>
      <c r="S9" s="1" t="s">
        <v>632</v>
      </c>
      <c r="T9" s="1" t="s">
        <v>36</v>
      </c>
      <c r="U9" s="1" t="s">
        <v>633</v>
      </c>
    </row>
    <row r="10" spans="1:21" x14ac:dyDescent="0.25">
      <c r="A10" s="1" t="s">
        <v>625</v>
      </c>
      <c r="B10" s="1" t="s">
        <v>626</v>
      </c>
      <c r="C10" s="1" t="s">
        <v>627</v>
      </c>
      <c r="D10" s="1" t="s">
        <v>628</v>
      </c>
      <c r="E10" s="1" t="s">
        <v>26</v>
      </c>
      <c r="F10" s="1" t="s">
        <v>629</v>
      </c>
      <c r="G10" s="1">
        <v>2026</v>
      </c>
      <c r="H10" s="1" t="s">
        <v>4</v>
      </c>
      <c r="I10" s="1" t="s">
        <v>127</v>
      </c>
      <c r="J10" s="1">
        <v>0</v>
      </c>
      <c r="K10" s="58">
        <v>50000</v>
      </c>
      <c r="L10" s="58">
        <v>0</v>
      </c>
      <c r="M10" s="58">
        <v>50000</v>
      </c>
      <c r="N10" s="1" t="s">
        <v>630</v>
      </c>
      <c r="O10" s="1">
        <v>2026</v>
      </c>
      <c r="P10" s="1">
        <v>1</v>
      </c>
      <c r="Q10" s="1" t="s">
        <v>84</v>
      </c>
      <c r="R10" s="1" t="s">
        <v>631</v>
      </c>
      <c r="S10" s="1" t="s">
        <v>632</v>
      </c>
      <c r="T10" s="1" t="s">
        <v>36</v>
      </c>
      <c r="U10" s="1" t="s">
        <v>633</v>
      </c>
    </row>
    <row r="11" spans="1:21" x14ac:dyDescent="0.25">
      <c r="A11" s="1" t="s">
        <v>634</v>
      </c>
      <c r="B11" s="1" t="s">
        <v>626</v>
      </c>
      <c r="C11" s="1" t="s">
        <v>627</v>
      </c>
      <c r="D11" s="1" t="s">
        <v>628</v>
      </c>
      <c r="E11" s="1" t="s">
        <v>26</v>
      </c>
      <c r="F11" s="1" t="s">
        <v>629</v>
      </c>
      <c r="G11" s="1">
        <v>2026</v>
      </c>
      <c r="H11" s="1" t="s">
        <v>4</v>
      </c>
      <c r="I11" s="1" t="s">
        <v>127</v>
      </c>
      <c r="J11" s="1">
        <v>0</v>
      </c>
      <c r="K11" s="58">
        <v>250000</v>
      </c>
      <c r="L11" s="58">
        <v>0</v>
      </c>
      <c r="M11" s="58">
        <v>250000</v>
      </c>
      <c r="N11" s="1" t="s">
        <v>630</v>
      </c>
      <c r="O11" s="1">
        <v>2026</v>
      </c>
      <c r="P11" s="1">
        <v>1</v>
      </c>
      <c r="Q11" s="1" t="s">
        <v>84</v>
      </c>
      <c r="R11" s="1" t="s">
        <v>631</v>
      </c>
      <c r="S11" s="1" t="s">
        <v>632</v>
      </c>
      <c r="T11" s="1" t="s">
        <v>36</v>
      </c>
      <c r="U11" s="1" t="s">
        <v>162</v>
      </c>
    </row>
    <row r="12" spans="1:21" x14ac:dyDescent="0.25">
      <c r="A12" s="1" t="s">
        <v>624</v>
      </c>
      <c r="B12" s="1">
        <v>3</v>
      </c>
      <c r="C12" s="1" t="s">
        <v>472</v>
      </c>
      <c r="D12" s="1" t="s">
        <v>410</v>
      </c>
      <c r="E12" s="1" t="s">
        <v>26</v>
      </c>
      <c r="F12" s="2">
        <v>46069</v>
      </c>
      <c r="G12" s="1">
        <v>2026</v>
      </c>
      <c r="H12" s="1" t="s">
        <v>4</v>
      </c>
      <c r="I12" s="1" t="s">
        <v>127</v>
      </c>
      <c r="J12" s="1">
        <v>0</v>
      </c>
      <c r="K12" s="7">
        <v>100000</v>
      </c>
      <c r="L12" s="7">
        <v>0</v>
      </c>
      <c r="M12" s="7">
        <f t="shared" ref="M12:M43" si="0">K12-L12</f>
        <v>100000</v>
      </c>
      <c r="N12" s="9">
        <v>3</v>
      </c>
      <c r="O12" s="9">
        <v>2026</v>
      </c>
      <c r="P12" s="1">
        <v>1</v>
      </c>
      <c r="Q12" s="1" t="s">
        <v>90</v>
      </c>
      <c r="R12" s="1">
        <v>244</v>
      </c>
      <c r="S12" s="1">
        <v>2014</v>
      </c>
      <c r="T12" s="1" t="s">
        <v>36</v>
      </c>
    </row>
    <row r="13" spans="1:21" x14ac:dyDescent="0.25">
      <c r="A13" s="1" t="s">
        <v>623</v>
      </c>
      <c r="B13" s="1">
        <v>10</v>
      </c>
      <c r="C13" s="1" t="s">
        <v>345</v>
      </c>
      <c r="D13" s="1" t="s">
        <v>346</v>
      </c>
      <c r="E13" s="1" t="s">
        <v>26</v>
      </c>
      <c r="F13" s="2">
        <v>46069</v>
      </c>
      <c r="G13" s="1">
        <v>2026</v>
      </c>
      <c r="H13" s="1" t="s">
        <v>3</v>
      </c>
      <c r="I13" s="1" t="s">
        <v>134</v>
      </c>
      <c r="J13" s="1">
        <v>6</v>
      </c>
      <c r="K13" s="7">
        <v>250000</v>
      </c>
      <c r="L13" s="7">
        <f>J13*1000</f>
        <v>6000</v>
      </c>
      <c r="M13" s="7">
        <f t="shared" si="0"/>
        <v>244000</v>
      </c>
      <c r="N13" s="9">
        <v>2</v>
      </c>
      <c r="O13" s="9">
        <v>2026</v>
      </c>
      <c r="P13" s="1">
        <v>1</v>
      </c>
      <c r="Q13" s="1" t="s">
        <v>84</v>
      </c>
      <c r="T13" s="1" t="s">
        <v>36</v>
      </c>
      <c r="U13" s="1" t="s">
        <v>622</v>
      </c>
    </row>
    <row r="14" spans="1:21" x14ac:dyDescent="0.25">
      <c r="A14" s="1" t="s">
        <v>620</v>
      </c>
      <c r="B14" s="1">
        <v>4</v>
      </c>
      <c r="C14" s="1" t="s">
        <v>525</v>
      </c>
      <c r="D14" s="1" t="s">
        <v>526</v>
      </c>
      <c r="E14" s="1" t="s">
        <v>26</v>
      </c>
      <c r="F14" s="2">
        <v>46064</v>
      </c>
      <c r="G14" s="1">
        <v>2026</v>
      </c>
      <c r="H14" s="1" t="s">
        <v>3</v>
      </c>
      <c r="I14" s="1" t="s">
        <v>134</v>
      </c>
      <c r="J14" s="1">
        <v>1</v>
      </c>
      <c r="K14" s="7">
        <v>101400</v>
      </c>
      <c r="L14" s="7">
        <f>J14*1000</f>
        <v>1000</v>
      </c>
      <c r="M14" s="7">
        <f t="shared" si="0"/>
        <v>100400</v>
      </c>
      <c r="N14" s="9">
        <v>2</v>
      </c>
      <c r="O14" s="9">
        <v>2026</v>
      </c>
      <c r="P14" s="1">
        <v>1</v>
      </c>
      <c r="Q14" s="1" t="s">
        <v>39</v>
      </c>
      <c r="R14" s="1" t="s">
        <v>621</v>
      </c>
      <c r="T14" s="1" t="s">
        <v>36</v>
      </c>
      <c r="U14" s="1" t="s">
        <v>622</v>
      </c>
    </row>
    <row r="15" spans="1:21" x14ac:dyDescent="0.25">
      <c r="A15" s="1" t="s">
        <v>618</v>
      </c>
      <c r="B15" s="1">
        <v>12</v>
      </c>
      <c r="C15" s="1" t="s">
        <v>521</v>
      </c>
      <c r="D15" s="1" t="s">
        <v>522</v>
      </c>
      <c r="E15" s="1" t="s">
        <v>26</v>
      </c>
      <c r="F15" s="2">
        <v>46059</v>
      </c>
      <c r="G15" s="1">
        <v>2026</v>
      </c>
      <c r="H15" s="1" t="s">
        <v>3</v>
      </c>
      <c r="I15" s="1" t="s">
        <v>127</v>
      </c>
      <c r="J15" s="1">
        <v>0</v>
      </c>
      <c r="K15" s="7">
        <v>50000</v>
      </c>
      <c r="L15" s="7">
        <v>0</v>
      </c>
      <c r="M15" s="7">
        <f t="shared" si="0"/>
        <v>50000</v>
      </c>
      <c r="N15" s="9">
        <v>2</v>
      </c>
      <c r="O15" s="9">
        <v>2026</v>
      </c>
      <c r="P15" s="1">
        <v>1</v>
      </c>
      <c r="Q15" s="1" t="s">
        <v>33</v>
      </c>
      <c r="R15" s="1">
        <v>3836</v>
      </c>
      <c r="T15" s="1" t="s">
        <v>36</v>
      </c>
    </row>
    <row r="16" spans="1:21" x14ac:dyDescent="0.25">
      <c r="A16" s="1" t="s">
        <v>617</v>
      </c>
      <c r="B16" s="1">
        <v>20</v>
      </c>
      <c r="C16" s="1" t="s">
        <v>520</v>
      </c>
      <c r="D16" s="1" t="s">
        <v>410</v>
      </c>
      <c r="E16" s="1" t="s">
        <v>26</v>
      </c>
      <c r="F16" s="2">
        <v>46059</v>
      </c>
      <c r="G16" s="1">
        <v>2026</v>
      </c>
      <c r="H16" s="1" t="s">
        <v>3</v>
      </c>
      <c r="I16" s="1" t="s">
        <v>127</v>
      </c>
      <c r="J16" s="1">
        <v>0</v>
      </c>
      <c r="K16" s="7">
        <v>100000</v>
      </c>
      <c r="L16" s="7">
        <v>0</v>
      </c>
      <c r="M16" s="7">
        <f t="shared" si="0"/>
        <v>100000</v>
      </c>
      <c r="N16" s="9">
        <v>2</v>
      </c>
      <c r="O16" s="9">
        <v>2026</v>
      </c>
      <c r="P16" s="1">
        <v>1</v>
      </c>
      <c r="Q16" s="1" t="s">
        <v>33</v>
      </c>
      <c r="R16" s="1">
        <v>8381</v>
      </c>
      <c r="T16" s="1" t="s">
        <v>36</v>
      </c>
      <c r="U16" s="1" t="s">
        <v>162</v>
      </c>
    </row>
    <row r="17" spans="1:21" x14ac:dyDescent="0.25">
      <c r="A17" s="1" t="s">
        <v>616</v>
      </c>
      <c r="B17" s="1">
        <v>20</v>
      </c>
      <c r="C17" s="1" t="s">
        <v>520</v>
      </c>
      <c r="D17" s="1" t="s">
        <v>410</v>
      </c>
      <c r="E17" s="1" t="s">
        <v>26</v>
      </c>
      <c r="F17" s="2">
        <v>46059</v>
      </c>
      <c r="G17" s="1">
        <v>2026</v>
      </c>
      <c r="H17" s="1" t="s">
        <v>3</v>
      </c>
      <c r="I17" s="1" t="s">
        <v>127</v>
      </c>
      <c r="J17" s="1">
        <v>0</v>
      </c>
      <c r="K17" s="7">
        <v>50000</v>
      </c>
      <c r="L17" s="7">
        <v>0</v>
      </c>
      <c r="M17" s="7">
        <f t="shared" si="0"/>
        <v>50000</v>
      </c>
      <c r="N17" s="9">
        <v>2</v>
      </c>
      <c r="O17" s="9">
        <v>2026</v>
      </c>
      <c r="P17" s="1">
        <v>1</v>
      </c>
      <c r="Q17" s="1" t="s">
        <v>33</v>
      </c>
      <c r="R17" s="1">
        <v>8381</v>
      </c>
      <c r="T17" s="1" t="s">
        <v>36</v>
      </c>
    </row>
    <row r="18" spans="1:21" x14ac:dyDescent="0.25">
      <c r="A18" s="1" t="s">
        <v>614</v>
      </c>
      <c r="B18" s="1">
        <v>13</v>
      </c>
      <c r="C18" s="1" t="s">
        <v>398</v>
      </c>
      <c r="D18" s="1" t="s">
        <v>399</v>
      </c>
      <c r="E18" s="1" t="s">
        <v>26</v>
      </c>
      <c r="F18" s="2">
        <v>46058</v>
      </c>
      <c r="G18" s="1">
        <v>2026</v>
      </c>
      <c r="H18" s="1" t="s">
        <v>3</v>
      </c>
      <c r="I18" s="1" t="s">
        <v>127</v>
      </c>
      <c r="J18" s="1">
        <v>0</v>
      </c>
      <c r="K18" s="7">
        <v>100000</v>
      </c>
      <c r="L18" s="7">
        <v>0</v>
      </c>
      <c r="M18" s="7">
        <f t="shared" si="0"/>
        <v>100000</v>
      </c>
      <c r="N18" s="9">
        <v>2</v>
      </c>
      <c r="O18" s="9">
        <v>2026</v>
      </c>
      <c r="P18" s="1">
        <v>1</v>
      </c>
      <c r="Q18" s="1" t="s">
        <v>39</v>
      </c>
      <c r="R18" s="1" t="s">
        <v>615</v>
      </c>
      <c r="T18" s="1" t="s">
        <v>36</v>
      </c>
    </row>
    <row r="19" spans="1:21" x14ac:dyDescent="0.25">
      <c r="A19" s="1" t="s">
        <v>613</v>
      </c>
      <c r="B19" s="1">
        <v>2</v>
      </c>
      <c r="C19" s="1" t="s">
        <v>414</v>
      </c>
      <c r="D19" s="1" t="s">
        <v>410</v>
      </c>
      <c r="E19" s="1" t="s">
        <v>26</v>
      </c>
      <c r="F19" s="2">
        <v>46058</v>
      </c>
      <c r="G19" s="1">
        <v>2026</v>
      </c>
      <c r="H19" s="1" t="s">
        <v>3</v>
      </c>
      <c r="I19" s="1" t="s">
        <v>127</v>
      </c>
      <c r="J19" s="1">
        <v>0</v>
      </c>
      <c r="K19" s="7">
        <v>100000</v>
      </c>
      <c r="L19" s="7">
        <v>0</v>
      </c>
      <c r="M19" s="7">
        <f t="shared" si="0"/>
        <v>100000</v>
      </c>
      <c r="N19" s="9">
        <v>2</v>
      </c>
      <c r="O19" s="9">
        <v>2026</v>
      </c>
      <c r="P19" s="1">
        <v>1</v>
      </c>
      <c r="Q19" s="1" t="s">
        <v>80</v>
      </c>
      <c r="R19" s="1">
        <v>9809</v>
      </c>
      <c r="S19" s="1">
        <v>8600</v>
      </c>
      <c r="T19" s="1" t="s">
        <v>36</v>
      </c>
    </row>
    <row r="20" spans="1:21" x14ac:dyDescent="0.25">
      <c r="A20" s="1" t="s">
        <v>612</v>
      </c>
      <c r="B20" s="1">
        <v>6</v>
      </c>
      <c r="C20" s="1" t="s">
        <v>415</v>
      </c>
      <c r="D20" s="1" t="s">
        <v>416</v>
      </c>
      <c r="E20" s="1" t="s">
        <v>26</v>
      </c>
      <c r="F20" s="2">
        <v>46058</v>
      </c>
      <c r="G20" s="1">
        <v>2026</v>
      </c>
      <c r="H20" s="1" t="s">
        <v>3</v>
      </c>
      <c r="I20" s="1" t="s">
        <v>127</v>
      </c>
      <c r="J20" s="1">
        <v>0</v>
      </c>
      <c r="K20" s="7">
        <v>100000</v>
      </c>
      <c r="L20" s="7">
        <v>0</v>
      </c>
      <c r="M20" s="7">
        <f t="shared" si="0"/>
        <v>100000</v>
      </c>
      <c r="N20" s="9">
        <v>2</v>
      </c>
      <c r="O20" s="9">
        <v>2026</v>
      </c>
      <c r="P20" s="1">
        <v>1</v>
      </c>
      <c r="Q20" s="1" t="s">
        <v>80</v>
      </c>
      <c r="R20" s="1">
        <v>9789</v>
      </c>
      <c r="S20" s="1">
        <v>8600</v>
      </c>
      <c r="T20" s="1" t="s">
        <v>36</v>
      </c>
    </row>
    <row r="21" spans="1:21" x14ac:dyDescent="0.25">
      <c r="A21" s="1" t="s">
        <v>611</v>
      </c>
      <c r="B21" s="1">
        <v>21</v>
      </c>
      <c r="C21" s="1" t="s">
        <v>572</v>
      </c>
      <c r="D21" s="1" t="s">
        <v>410</v>
      </c>
      <c r="E21" s="1" t="s">
        <v>26</v>
      </c>
      <c r="F21" s="2">
        <v>46058</v>
      </c>
      <c r="G21" s="1">
        <v>2026</v>
      </c>
      <c r="H21" s="1" t="s">
        <v>3</v>
      </c>
      <c r="I21" s="1" t="s">
        <v>127</v>
      </c>
      <c r="J21" s="1">
        <v>0</v>
      </c>
      <c r="K21" s="7">
        <v>50000</v>
      </c>
      <c r="L21" s="7">
        <v>0</v>
      </c>
      <c r="M21" s="7">
        <f t="shared" si="0"/>
        <v>50000</v>
      </c>
      <c r="N21" s="9">
        <v>2</v>
      </c>
      <c r="O21" s="9">
        <v>2026</v>
      </c>
      <c r="P21" s="1">
        <v>1</v>
      </c>
      <c r="Q21" s="1" t="s">
        <v>80</v>
      </c>
      <c r="R21" s="1">
        <v>9747</v>
      </c>
      <c r="S21" s="1">
        <v>8600</v>
      </c>
      <c r="T21" s="1" t="s">
        <v>36</v>
      </c>
    </row>
    <row r="22" spans="1:21" x14ac:dyDescent="0.25">
      <c r="A22" s="1" t="s">
        <v>610</v>
      </c>
      <c r="B22" s="1">
        <v>3</v>
      </c>
      <c r="C22" s="1" t="s">
        <v>472</v>
      </c>
      <c r="D22" s="1" t="s">
        <v>410</v>
      </c>
      <c r="E22" s="1" t="s">
        <v>26</v>
      </c>
      <c r="F22" s="2">
        <v>46057</v>
      </c>
      <c r="G22" s="1">
        <v>2026</v>
      </c>
      <c r="H22" s="1" t="s">
        <v>3</v>
      </c>
      <c r="I22" s="1" t="s">
        <v>127</v>
      </c>
      <c r="J22" s="1">
        <v>0</v>
      </c>
      <c r="K22" s="7">
        <v>100000</v>
      </c>
      <c r="L22" s="7">
        <v>0</v>
      </c>
      <c r="M22" s="7">
        <f t="shared" si="0"/>
        <v>100000</v>
      </c>
      <c r="N22" s="9">
        <v>2</v>
      </c>
      <c r="O22" s="9">
        <v>2026</v>
      </c>
      <c r="P22" s="1">
        <v>1</v>
      </c>
      <c r="Q22" s="1" t="s">
        <v>90</v>
      </c>
      <c r="R22" s="1">
        <v>4753</v>
      </c>
      <c r="S22" s="1">
        <v>2014</v>
      </c>
      <c r="T22" s="1" t="s">
        <v>36</v>
      </c>
    </row>
    <row r="23" spans="1:21" x14ac:dyDescent="0.25">
      <c r="A23" s="1" t="s">
        <v>609</v>
      </c>
      <c r="B23" s="1">
        <v>22</v>
      </c>
      <c r="C23" s="1" t="s">
        <v>544</v>
      </c>
      <c r="D23" s="1" t="s">
        <v>410</v>
      </c>
      <c r="E23" s="1" t="s">
        <v>26</v>
      </c>
      <c r="F23" s="2">
        <v>46057</v>
      </c>
      <c r="G23" s="1">
        <v>2026</v>
      </c>
      <c r="H23" s="1" t="s">
        <v>3</v>
      </c>
      <c r="I23" s="1" t="s">
        <v>127</v>
      </c>
      <c r="J23" s="1">
        <v>0</v>
      </c>
      <c r="K23" s="7">
        <v>50000</v>
      </c>
      <c r="L23" s="7">
        <v>0</v>
      </c>
      <c r="M23" s="7">
        <f t="shared" si="0"/>
        <v>50000</v>
      </c>
      <c r="N23" s="9">
        <v>2</v>
      </c>
      <c r="O23" s="9">
        <v>2026</v>
      </c>
      <c r="P23" s="1">
        <v>1</v>
      </c>
      <c r="Q23" s="1" t="s">
        <v>84</v>
      </c>
      <c r="R23" s="1">
        <v>5905</v>
      </c>
      <c r="T23" s="1" t="s">
        <v>36</v>
      </c>
    </row>
    <row r="24" spans="1:21" x14ac:dyDescent="0.25">
      <c r="A24" s="1" t="s">
        <v>607</v>
      </c>
      <c r="B24" s="1">
        <v>18</v>
      </c>
      <c r="C24" s="1" t="s">
        <v>406</v>
      </c>
      <c r="D24" s="1" t="s">
        <v>407</v>
      </c>
      <c r="E24" s="1" t="s">
        <v>26</v>
      </c>
      <c r="F24" s="2">
        <v>46057</v>
      </c>
      <c r="G24" s="1">
        <v>2026</v>
      </c>
      <c r="H24" s="1" t="s">
        <v>3</v>
      </c>
      <c r="I24" s="1" t="s">
        <v>127</v>
      </c>
      <c r="J24" s="1">
        <v>0</v>
      </c>
      <c r="K24" s="7">
        <v>1000000</v>
      </c>
      <c r="L24" s="7">
        <v>0</v>
      </c>
      <c r="M24" s="7">
        <f t="shared" si="0"/>
        <v>1000000</v>
      </c>
      <c r="N24" s="9">
        <v>2</v>
      </c>
      <c r="O24" s="9">
        <v>2026</v>
      </c>
      <c r="P24" s="1">
        <v>1</v>
      </c>
      <c r="Q24" s="1" t="s">
        <v>33</v>
      </c>
      <c r="R24" s="1" t="s">
        <v>608</v>
      </c>
      <c r="S24" s="1">
        <v>6820</v>
      </c>
      <c r="T24" s="1" t="s">
        <v>36</v>
      </c>
      <c r="U24" s="1" t="s">
        <v>162</v>
      </c>
    </row>
    <row r="25" spans="1:21" x14ac:dyDescent="0.25">
      <c r="A25" s="1" t="s">
        <v>606</v>
      </c>
      <c r="B25" s="1">
        <v>16</v>
      </c>
      <c r="C25" s="1" t="s">
        <v>422</v>
      </c>
      <c r="D25" s="1" t="s">
        <v>407</v>
      </c>
      <c r="E25" s="1" t="s">
        <v>26</v>
      </c>
      <c r="F25" s="2">
        <v>46055</v>
      </c>
      <c r="G25" s="1">
        <v>2026</v>
      </c>
      <c r="H25" s="1" t="s">
        <v>3</v>
      </c>
      <c r="I25" s="1" t="s">
        <v>127</v>
      </c>
      <c r="J25" s="1">
        <v>0</v>
      </c>
      <c r="K25" s="7">
        <v>50000</v>
      </c>
      <c r="L25" s="7">
        <v>0</v>
      </c>
      <c r="M25" s="7">
        <f t="shared" si="0"/>
        <v>50000</v>
      </c>
      <c r="N25" s="9">
        <v>2</v>
      </c>
      <c r="O25" s="9">
        <v>2026</v>
      </c>
      <c r="P25" s="1">
        <v>1</v>
      </c>
      <c r="Q25" s="1" t="s">
        <v>39</v>
      </c>
      <c r="R25" s="1">
        <v>1770</v>
      </c>
      <c r="S25" s="1">
        <v>9763</v>
      </c>
      <c r="T25" s="1" t="s">
        <v>36</v>
      </c>
    </row>
    <row r="26" spans="1:21" x14ac:dyDescent="0.25">
      <c r="A26" s="1" t="s">
        <v>604</v>
      </c>
      <c r="B26" s="1">
        <v>1</v>
      </c>
      <c r="C26" s="1" t="s">
        <v>527</v>
      </c>
      <c r="D26" s="1" t="s">
        <v>346</v>
      </c>
      <c r="E26" s="1" t="s">
        <v>26</v>
      </c>
      <c r="F26" s="2">
        <v>46055</v>
      </c>
      <c r="G26" s="1">
        <v>2026</v>
      </c>
      <c r="H26" s="1" t="s">
        <v>3</v>
      </c>
      <c r="I26" s="1" t="s">
        <v>127</v>
      </c>
      <c r="J26" s="1">
        <v>0</v>
      </c>
      <c r="K26" s="7">
        <v>200000</v>
      </c>
      <c r="L26" s="7">
        <v>0</v>
      </c>
      <c r="M26" s="7">
        <f t="shared" si="0"/>
        <v>200000</v>
      </c>
      <c r="N26" s="9">
        <v>2</v>
      </c>
      <c r="O26" s="9">
        <v>2026</v>
      </c>
      <c r="P26" s="1">
        <v>1</v>
      </c>
      <c r="Q26" s="1" t="s">
        <v>39</v>
      </c>
      <c r="R26" s="57" t="s">
        <v>605</v>
      </c>
      <c r="S26" s="1">
        <v>9763</v>
      </c>
      <c r="T26" s="1" t="s">
        <v>36</v>
      </c>
    </row>
    <row r="27" spans="1:21" x14ac:dyDescent="0.25">
      <c r="A27" s="1" t="s">
        <v>601</v>
      </c>
      <c r="B27" s="1">
        <v>8</v>
      </c>
      <c r="C27" s="1" t="s">
        <v>409</v>
      </c>
      <c r="D27" s="1" t="s">
        <v>410</v>
      </c>
      <c r="E27" s="1" t="s">
        <v>26</v>
      </c>
      <c r="F27" s="2">
        <v>46055</v>
      </c>
      <c r="G27" s="1">
        <v>2026</v>
      </c>
      <c r="H27" s="1" t="s">
        <v>3</v>
      </c>
      <c r="I27" s="1" t="s">
        <v>127</v>
      </c>
      <c r="J27" s="1">
        <v>0</v>
      </c>
      <c r="K27" s="7">
        <v>100000</v>
      </c>
      <c r="L27" s="7">
        <v>0</v>
      </c>
      <c r="M27" s="7">
        <f t="shared" si="0"/>
        <v>100000</v>
      </c>
      <c r="N27" s="9">
        <v>2</v>
      </c>
      <c r="O27" s="9">
        <v>2026</v>
      </c>
      <c r="P27" s="1">
        <v>1</v>
      </c>
      <c r="Q27" s="1" t="s">
        <v>39</v>
      </c>
      <c r="R27" s="1" t="s">
        <v>603</v>
      </c>
      <c r="T27" s="1" t="s">
        <v>36</v>
      </c>
      <c r="U27" s="55"/>
    </row>
    <row r="28" spans="1:21" x14ac:dyDescent="0.25">
      <c r="A28" s="1" t="s">
        <v>619</v>
      </c>
      <c r="B28" s="1">
        <v>9</v>
      </c>
      <c r="C28" s="1" t="s">
        <v>402</v>
      </c>
      <c r="D28" s="1" t="s">
        <v>346</v>
      </c>
      <c r="E28" s="1" t="s">
        <v>26</v>
      </c>
      <c r="F28" s="2">
        <v>46051</v>
      </c>
      <c r="G28" s="1">
        <v>2026</v>
      </c>
      <c r="H28" s="1" t="s">
        <v>3</v>
      </c>
      <c r="I28" s="1" t="s">
        <v>127</v>
      </c>
      <c r="J28" s="1">
        <v>0</v>
      </c>
      <c r="K28" s="7">
        <v>500000</v>
      </c>
      <c r="L28" s="7">
        <f>J28*1000</f>
        <v>0</v>
      </c>
      <c r="M28" s="7">
        <f t="shared" si="0"/>
        <v>500000</v>
      </c>
      <c r="N28" s="9">
        <v>2</v>
      </c>
      <c r="O28" s="9">
        <v>2026</v>
      </c>
      <c r="P28" s="1">
        <v>1</v>
      </c>
      <c r="Q28" s="1" t="s">
        <v>484</v>
      </c>
      <c r="R28" s="1">
        <v>2915</v>
      </c>
      <c r="T28" s="1" t="s">
        <v>36</v>
      </c>
      <c r="U28" s="55"/>
    </row>
    <row r="29" spans="1:21" x14ac:dyDescent="0.25">
      <c r="A29" s="1" t="s">
        <v>600</v>
      </c>
      <c r="B29" s="1">
        <v>5</v>
      </c>
      <c r="C29" s="1" t="s">
        <v>387</v>
      </c>
      <c r="D29" s="1" t="s">
        <v>339</v>
      </c>
      <c r="E29" s="1" t="s">
        <v>26</v>
      </c>
      <c r="F29" s="2">
        <v>46046</v>
      </c>
      <c r="G29" s="1">
        <v>2026</v>
      </c>
      <c r="H29" s="1" t="s">
        <v>3</v>
      </c>
      <c r="I29" s="1" t="s">
        <v>127</v>
      </c>
      <c r="J29" s="1">
        <v>0</v>
      </c>
      <c r="K29" s="7">
        <v>50000</v>
      </c>
      <c r="L29" s="7">
        <v>0</v>
      </c>
      <c r="M29" s="7">
        <f t="shared" si="0"/>
        <v>50000</v>
      </c>
      <c r="N29" s="9">
        <v>2</v>
      </c>
      <c r="O29" s="9">
        <v>2026</v>
      </c>
      <c r="P29" s="1">
        <v>1</v>
      </c>
      <c r="Q29" s="1" t="s">
        <v>84</v>
      </c>
      <c r="R29" s="1">
        <v>2982</v>
      </c>
      <c r="T29" s="1" t="s">
        <v>36</v>
      </c>
    </row>
    <row r="30" spans="1:21" x14ac:dyDescent="0.25">
      <c r="A30" s="1" t="s">
        <v>599</v>
      </c>
      <c r="B30" s="1">
        <v>5</v>
      </c>
      <c r="C30" s="1" t="s">
        <v>387</v>
      </c>
      <c r="D30" s="1" t="s">
        <v>339</v>
      </c>
      <c r="E30" s="1" t="s">
        <v>26</v>
      </c>
      <c r="F30" s="2">
        <v>46046</v>
      </c>
      <c r="G30" s="1">
        <v>2026</v>
      </c>
      <c r="H30" s="1" t="s">
        <v>2</v>
      </c>
      <c r="I30" s="1" t="s">
        <v>127</v>
      </c>
      <c r="J30" s="1">
        <v>0</v>
      </c>
      <c r="K30" s="7">
        <v>250000</v>
      </c>
      <c r="L30" s="7">
        <v>0</v>
      </c>
      <c r="M30" s="7">
        <f t="shared" si="0"/>
        <v>250000</v>
      </c>
      <c r="N30" s="9">
        <v>1</v>
      </c>
      <c r="O30" s="9">
        <v>2026</v>
      </c>
      <c r="P30" s="1">
        <v>1</v>
      </c>
      <c r="Q30" s="1" t="s">
        <v>84</v>
      </c>
      <c r="R30" s="1">
        <v>2982</v>
      </c>
      <c r="T30" s="1" t="s">
        <v>36</v>
      </c>
      <c r="U30" s="1" t="s">
        <v>162</v>
      </c>
    </row>
    <row r="31" spans="1:21" x14ac:dyDescent="0.25">
      <c r="A31" s="1" t="s">
        <v>581</v>
      </c>
      <c r="B31" s="1">
        <v>14</v>
      </c>
      <c r="C31" s="1" t="s">
        <v>523</v>
      </c>
      <c r="D31" s="1" t="s">
        <v>339</v>
      </c>
      <c r="E31" s="1" t="s">
        <v>26</v>
      </c>
      <c r="F31" s="2">
        <v>46036</v>
      </c>
      <c r="G31" s="1">
        <v>2026</v>
      </c>
      <c r="H31" s="1" t="s">
        <v>4</v>
      </c>
      <c r="I31" s="1" t="s">
        <v>127</v>
      </c>
      <c r="J31" s="1">
        <v>0</v>
      </c>
      <c r="K31" s="7">
        <v>50000</v>
      </c>
      <c r="L31" s="7">
        <f t="shared" ref="L31:L37" si="1">J31*1000</f>
        <v>0</v>
      </c>
      <c r="M31" s="7">
        <f t="shared" si="0"/>
        <v>50000</v>
      </c>
      <c r="N31" s="9">
        <v>3</v>
      </c>
      <c r="O31" s="9">
        <v>2026</v>
      </c>
      <c r="P31" s="1">
        <v>1</v>
      </c>
      <c r="Q31" s="1" t="s">
        <v>33</v>
      </c>
      <c r="R31" s="1">
        <v>13611</v>
      </c>
      <c r="S31" s="1">
        <v>8083</v>
      </c>
      <c r="T31" s="1" t="s">
        <v>36</v>
      </c>
    </row>
    <row r="32" spans="1:21" x14ac:dyDescent="0.25">
      <c r="A32" s="1" t="s">
        <v>580</v>
      </c>
      <c r="B32" s="1">
        <v>14</v>
      </c>
      <c r="C32" s="1" t="s">
        <v>523</v>
      </c>
      <c r="D32" s="1" t="s">
        <v>339</v>
      </c>
      <c r="E32" s="1" t="s">
        <v>26</v>
      </c>
      <c r="F32" s="2">
        <v>46036</v>
      </c>
      <c r="G32" s="1">
        <v>2026</v>
      </c>
      <c r="H32" s="1" t="s">
        <v>3</v>
      </c>
      <c r="I32" s="1" t="s">
        <v>127</v>
      </c>
      <c r="J32" s="1">
        <v>0</v>
      </c>
      <c r="K32" s="7">
        <v>50000</v>
      </c>
      <c r="L32" s="7">
        <f t="shared" si="1"/>
        <v>0</v>
      </c>
      <c r="M32" s="7">
        <f t="shared" si="0"/>
        <v>50000</v>
      </c>
      <c r="N32" s="9">
        <v>2</v>
      </c>
      <c r="O32" s="9">
        <v>2026</v>
      </c>
      <c r="P32" s="1">
        <v>1</v>
      </c>
      <c r="Q32" s="1" t="s">
        <v>33</v>
      </c>
      <c r="R32" s="1">
        <v>13611</v>
      </c>
      <c r="S32" s="1">
        <v>8083</v>
      </c>
      <c r="T32" s="1" t="s">
        <v>36</v>
      </c>
    </row>
    <row r="33" spans="1:21" x14ac:dyDescent="0.25">
      <c r="A33" s="1" t="s">
        <v>579</v>
      </c>
      <c r="B33" s="1">
        <v>14</v>
      </c>
      <c r="C33" s="1" t="s">
        <v>523</v>
      </c>
      <c r="D33" s="1" t="s">
        <v>339</v>
      </c>
      <c r="E33" s="1" t="s">
        <v>26</v>
      </c>
      <c r="F33" s="2">
        <v>46036</v>
      </c>
      <c r="G33" s="1">
        <v>2026</v>
      </c>
      <c r="H33" s="1" t="s">
        <v>2</v>
      </c>
      <c r="I33" s="1" t="s">
        <v>134</v>
      </c>
      <c r="J33" s="1">
        <v>4</v>
      </c>
      <c r="K33" s="7">
        <v>50000</v>
      </c>
      <c r="L33" s="7">
        <f t="shared" si="1"/>
        <v>4000</v>
      </c>
      <c r="M33" s="7">
        <f t="shared" si="0"/>
        <v>46000</v>
      </c>
      <c r="N33" s="9">
        <v>1</v>
      </c>
      <c r="O33" s="9">
        <v>2026</v>
      </c>
      <c r="P33" s="1">
        <v>1</v>
      </c>
      <c r="Q33" s="1" t="s">
        <v>33</v>
      </c>
      <c r="R33" s="1">
        <v>13611</v>
      </c>
      <c r="S33" s="1">
        <v>8083</v>
      </c>
      <c r="T33" s="1" t="s">
        <v>36</v>
      </c>
      <c r="U33" s="1" t="s">
        <v>582</v>
      </c>
    </row>
    <row r="34" spans="1:21" x14ac:dyDescent="0.25">
      <c r="A34" s="1" t="s">
        <v>578</v>
      </c>
      <c r="B34" s="1">
        <v>17</v>
      </c>
      <c r="C34" s="1" t="s">
        <v>402</v>
      </c>
      <c r="D34" s="1" t="s">
        <v>524</v>
      </c>
      <c r="E34" s="1" t="s">
        <v>26</v>
      </c>
      <c r="F34" s="2">
        <v>46036</v>
      </c>
      <c r="G34" s="1">
        <v>2026</v>
      </c>
      <c r="H34" s="1" t="s">
        <v>4</v>
      </c>
      <c r="I34" s="1" t="s">
        <v>127</v>
      </c>
      <c r="J34" s="1">
        <v>0</v>
      </c>
      <c r="K34" s="7">
        <v>50000</v>
      </c>
      <c r="L34" s="7">
        <f t="shared" si="1"/>
        <v>0</v>
      </c>
      <c r="M34" s="7">
        <f t="shared" si="0"/>
        <v>50000</v>
      </c>
      <c r="N34" s="9">
        <v>3</v>
      </c>
      <c r="O34" s="9">
        <v>2026</v>
      </c>
      <c r="P34" s="1">
        <v>1</v>
      </c>
      <c r="Q34" s="1" t="s">
        <v>33</v>
      </c>
      <c r="R34" s="1">
        <v>13611</v>
      </c>
      <c r="S34" s="1">
        <v>8083</v>
      </c>
      <c r="T34" s="1" t="s">
        <v>36</v>
      </c>
      <c r="U34" s="55"/>
    </row>
    <row r="35" spans="1:21" x14ac:dyDescent="0.25">
      <c r="A35" s="1" t="s">
        <v>577</v>
      </c>
      <c r="B35" s="1">
        <v>17</v>
      </c>
      <c r="C35" s="1" t="s">
        <v>402</v>
      </c>
      <c r="D35" s="1" t="s">
        <v>524</v>
      </c>
      <c r="E35" s="1" t="s">
        <v>26</v>
      </c>
      <c r="F35" s="2">
        <v>46036</v>
      </c>
      <c r="G35" s="1">
        <v>2026</v>
      </c>
      <c r="H35" s="1" t="s">
        <v>3</v>
      </c>
      <c r="I35" s="1" t="s">
        <v>127</v>
      </c>
      <c r="J35" s="1">
        <v>0</v>
      </c>
      <c r="K35" s="7">
        <v>50000</v>
      </c>
      <c r="L35" s="7">
        <f t="shared" si="1"/>
        <v>0</v>
      </c>
      <c r="M35" s="7">
        <f t="shared" si="0"/>
        <v>50000</v>
      </c>
      <c r="N35" s="9">
        <v>2</v>
      </c>
      <c r="O35" s="9">
        <v>2026</v>
      </c>
      <c r="P35" s="1">
        <v>1</v>
      </c>
      <c r="Q35" s="1" t="s">
        <v>33</v>
      </c>
      <c r="R35" s="1">
        <v>13611</v>
      </c>
      <c r="S35" s="1">
        <v>8083</v>
      </c>
      <c r="T35" s="1" t="s">
        <v>36</v>
      </c>
      <c r="U35" s="55"/>
    </row>
    <row r="36" spans="1:21" x14ac:dyDescent="0.25">
      <c r="A36" s="1" t="s">
        <v>576</v>
      </c>
      <c r="B36" s="1">
        <v>17</v>
      </c>
      <c r="C36" s="1" t="s">
        <v>402</v>
      </c>
      <c r="D36" s="1" t="s">
        <v>524</v>
      </c>
      <c r="E36" s="1" t="s">
        <v>26</v>
      </c>
      <c r="F36" s="2">
        <v>46036</v>
      </c>
      <c r="G36" s="1">
        <v>2026</v>
      </c>
      <c r="H36" s="1" t="s">
        <v>2</v>
      </c>
      <c r="I36" s="1" t="s">
        <v>134</v>
      </c>
      <c r="J36" s="1">
        <v>4</v>
      </c>
      <c r="K36" s="7">
        <v>50000</v>
      </c>
      <c r="L36" s="7">
        <f t="shared" si="1"/>
        <v>4000</v>
      </c>
      <c r="M36" s="7">
        <f t="shared" si="0"/>
        <v>46000</v>
      </c>
      <c r="N36" s="9">
        <v>1</v>
      </c>
      <c r="O36" s="9">
        <v>2026</v>
      </c>
      <c r="P36" s="1">
        <v>1</v>
      </c>
      <c r="Q36" s="1" t="s">
        <v>33</v>
      </c>
      <c r="R36" s="1">
        <v>13611</v>
      </c>
      <c r="S36" s="1">
        <v>8083</v>
      </c>
      <c r="T36" s="1" t="s">
        <v>36</v>
      </c>
      <c r="U36" s="1" t="s">
        <v>582</v>
      </c>
    </row>
    <row r="37" spans="1:21" x14ac:dyDescent="0.25">
      <c r="A37" s="1" t="s">
        <v>575</v>
      </c>
      <c r="B37" s="1">
        <v>10</v>
      </c>
      <c r="C37" s="1" t="s">
        <v>345</v>
      </c>
      <c r="D37" s="1" t="s">
        <v>346</v>
      </c>
      <c r="E37" s="1" t="s">
        <v>26</v>
      </c>
      <c r="F37" s="2">
        <v>46036</v>
      </c>
      <c r="G37" s="1">
        <v>2026</v>
      </c>
      <c r="H37" s="1" t="s">
        <v>2</v>
      </c>
      <c r="I37" s="1" t="s">
        <v>127</v>
      </c>
      <c r="J37" s="1">
        <v>0</v>
      </c>
      <c r="K37" s="7">
        <v>100000</v>
      </c>
      <c r="L37" s="7">
        <f t="shared" si="1"/>
        <v>0</v>
      </c>
      <c r="M37" s="7">
        <f t="shared" si="0"/>
        <v>100000</v>
      </c>
      <c r="N37" s="9">
        <v>1</v>
      </c>
      <c r="O37" s="9">
        <v>2026</v>
      </c>
      <c r="P37" s="1">
        <v>1</v>
      </c>
      <c r="Q37" s="1" t="s">
        <v>484</v>
      </c>
      <c r="R37" s="1">
        <v>9335</v>
      </c>
      <c r="T37" s="1" t="s">
        <v>36</v>
      </c>
      <c r="U37" s="55"/>
    </row>
    <row r="38" spans="1:21" x14ac:dyDescent="0.25">
      <c r="A38" s="1" t="s">
        <v>574</v>
      </c>
      <c r="B38" s="1">
        <v>2</v>
      </c>
      <c r="C38" s="1" t="s">
        <v>414</v>
      </c>
      <c r="D38" s="1" t="s">
        <v>410</v>
      </c>
      <c r="E38" s="1" t="s">
        <v>26</v>
      </c>
      <c r="F38" s="2">
        <v>46030</v>
      </c>
      <c r="G38" s="1">
        <v>2026</v>
      </c>
      <c r="H38" s="1" t="s">
        <v>2</v>
      </c>
      <c r="I38" s="1" t="s">
        <v>127</v>
      </c>
      <c r="J38" s="1">
        <v>0</v>
      </c>
      <c r="K38" s="7">
        <v>100000</v>
      </c>
      <c r="L38" s="7">
        <v>0</v>
      </c>
      <c r="M38" s="7">
        <f t="shared" si="0"/>
        <v>100000</v>
      </c>
      <c r="N38" s="9">
        <v>1</v>
      </c>
      <c r="O38" s="9">
        <v>2026</v>
      </c>
      <c r="P38" s="1">
        <v>1</v>
      </c>
      <c r="Q38" s="1" t="s">
        <v>80</v>
      </c>
      <c r="R38" s="1">
        <v>6268</v>
      </c>
      <c r="S38" s="1">
        <v>8600</v>
      </c>
      <c r="T38" s="1" t="s">
        <v>36</v>
      </c>
    </row>
    <row r="39" spans="1:21" x14ac:dyDescent="0.25">
      <c r="A39" s="1" t="s">
        <v>573</v>
      </c>
      <c r="B39" s="1">
        <v>6</v>
      </c>
      <c r="C39" s="1" t="s">
        <v>415</v>
      </c>
      <c r="D39" s="1" t="s">
        <v>416</v>
      </c>
      <c r="E39" s="1" t="s">
        <v>26</v>
      </c>
      <c r="F39" s="2">
        <v>46030</v>
      </c>
      <c r="G39" s="1">
        <v>2026</v>
      </c>
      <c r="H39" s="1" t="s">
        <v>2</v>
      </c>
      <c r="I39" s="1" t="s">
        <v>127</v>
      </c>
      <c r="J39" s="1">
        <v>0</v>
      </c>
      <c r="K39" s="7">
        <v>50000</v>
      </c>
      <c r="L39" s="7">
        <v>0</v>
      </c>
      <c r="M39" s="7">
        <f t="shared" si="0"/>
        <v>50000</v>
      </c>
      <c r="N39" s="9">
        <v>1</v>
      </c>
      <c r="O39" s="9">
        <v>2026</v>
      </c>
      <c r="P39" s="1">
        <v>1</v>
      </c>
      <c r="Q39" s="1" t="s">
        <v>80</v>
      </c>
      <c r="R39" s="1">
        <v>6211</v>
      </c>
      <c r="S39" s="1">
        <v>8600</v>
      </c>
      <c r="T39" s="1" t="s">
        <v>36</v>
      </c>
    </row>
    <row r="40" spans="1:21" x14ac:dyDescent="0.25">
      <c r="A40" s="1" t="s">
        <v>571</v>
      </c>
      <c r="B40" s="1">
        <v>21</v>
      </c>
      <c r="C40" s="1" t="s">
        <v>572</v>
      </c>
      <c r="D40" s="1" t="s">
        <v>410</v>
      </c>
      <c r="E40" s="1" t="s">
        <v>26</v>
      </c>
      <c r="F40" s="2">
        <v>46030</v>
      </c>
      <c r="G40" s="1">
        <v>2026</v>
      </c>
      <c r="H40" s="1" t="s">
        <v>2</v>
      </c>
      <c r="I40" s="1" t="s">
        <v>127</v>
      </c>
      <c r="J40" s="1">
        <v>0</v>
      </c>
      <c r="K40" s="7">
        <v>50000</v>
      </c>
      <c r="L40" s="7">
        <v>0</v>
      </c>
      <c r="M40" s="7">
        <f t="shared" si="0"/>
        <v>50000</v>
      </c>
      <c r="N40" s="9">
        <v>1</v>
      </c>
      <c r="O40" s="9">
        <v>2026</v>
      </c>
      <c r="P40" s="1">
        <v>1</v>
      </c>
      <c r="Q40" s="1" t="s">
        <v>80</v>
      </c>
      <c r="R40" s="1">
        <v>6173</v>
      </c>
      <c r="S40" s="1">
        <v>8600</v>
      </c>
      <c r="T40" s="1" t="s">
        <v>36</v>
      </c>
    </row>
    <row r="41" spans="1:21" x14ac:dyDescent="0.25">
      <c r="A41" s="1" t="s">
        <v>570</v>
      </c>
      <c r="B41" s="1">
        <v>3</v>
      </c>
      <c r="C41" s="1" t="s">
        <v>472</v>
      </c>
      <c r="D41" s="1" t="s">
        <v>410</v>
      </c>
      <c r="E41" s="1" t="s">
        <v>26</v>
      </c>
      <c r="F41" s="2">
        <v>46028</v>
      </c>
      <c r="G41" s="1">
        <v>2026</v>
      </c>
      <c r="H41" s="1" t="s">
        <v>2</v>
      </c>
      <c r="I41" s="1" t="s">
        <v>127</v>
      </c>
      <c r="J41" s="1">
        <v>0</v>
      </c>
      <c r="K41" s="7">
        <v>1000000</v>
      </c>
      <c r="L41" s="7">
        <v>0</v>
      </c>
      <c r="M41" s="7">
        <f t="shared" si="0"/>
        <v>1000000</v>
      </c>
      <c r="N41" s="9">
        <v>1</v>
      </c>
      <c r="O41" s="9">
        <v>2026</v>
      </c>
      <c r="P41" s="1">
        <v>1</v>
      </c>
      <c r="Q41" s="1" t="s">
        <v>90</v>
      </c>
      <c r="R41" s="1">
        <v>7591</v>
      </c>
      <c r="S41" s="1">
        <v>2014</v>
      </c>
      <c r="T41" s="1" t="s">
        <v>36</v>
      </c>
      <c r="U41" s="1" t="s">
        <v>162</v>
      </c>
    </row>
    <row r="42" spans="1:21" x14ac:dyDescent="0.25">
      <c r="A42" s="1" t="s">
        <v>569</v>
      </c>
      <c r="B42" s="1">
        <v>3</v>
      </c>
      <c r="C42" s="1" t="s">
        <v>472</v>
      </c>
      <c r="D42" s="1" t="s">
        <v>410</v>
      </c>
      <c r="E42" s="1" t="s">
        <v>26</v>
      </c>
      <c r="F42" s="2">
        <v>46028</v>
      </c>
      <c r="G42" s="1">
        <v>2026</v>
      </c>
      <c r="H42" s="1" t="s">
        <v>2</v>
      </c>
      <c r="I42" s="1" t="s">
        <v>127</v>
      </c>
      <c r="J42" s="1">
        <v>0</v>
      </c>
      <c r="K42" s="7">
        <v>100000</v>
      </c>
      <c r="L42" s="7">
        <v>0</v>
      </c>
      <c r="M42" s="7">
        <f t="shared" si="0"/>
        <v>100000</v>
      </c>
      <c r="N42" s="9">
        <v>1</v>
      </c>
      <c r="O42" s="9">
        <v>2026</v>
      </c>
      <c r="P42" s="1">
        <v>1</v>
      </c>
      <c r="Q42" s="1" t="s">
        <v>90</v>
      </c>
      <c r="R42" s="1">
        <v>7591</v>
      </c>
      <c r="S42" s="1">
        <v>2014</v>
      </c>
      <c r="T42" s="1" t="s">
        <v>36</v>
      </c>
    </row>
    <row r="43" spans="1:21" x14ac:dyDescent="0.25">
      <c r="A43" s="1" t="s">
        <v>568</v>
      </c>
      <c r="B43" s="1">
        <v>9</v>
      </c>
      <c r="C43" s="1" t="s">
        <v>402</v>
      </c>
      <c r="D43" s="1" t="s">
        <v>346</v>
      </c>
      <c r="E43" s="1" t="s">
        <v>26</v>
      </c>
      <c r="F43" s="2">
        <v>46028</v>
      </c>
      <c r="G43" s="1">
        <v>2026</v>
      </c>
      <c r="H43" s="1" t="s">
        <v>2</v>
      </c>
      <c r="I43" s="1" t="s">
        <v>127</v>
      </c>
      <c r="J43" s="1">
        <v>0</v>
      </c>
      <c r="K43" s="7">
        <v>500000</v>
      </c>
      <c r="L43" s="7">
        <f>J43*1000</f>
        <v>0</v>
      </c>
      <c r="M43" s="7">
        <f t="shared" si="0"/>
        <v>500000</v>
      </c>
      <c r="N43" s="9">
        <v>1</v>
      </c>
      <c r="O43" s="9">
        <v>2026</v>
      </c>
      <c r="P43" s="1">
        <v>1</v>
      </c>
      <c r="Q43" s="1" t="s">
        <v>484</v>
      </c>
      <c r="R43" s="1">
        <v>2570</v>
      </c>
      <c r="T43" s="1" t="s">
        <v>36</v>
      </c>
      <c r="U43" s="55"/>
    </row>
    <row r="44" spans="1:21" x14ac:dyDescent="0.25">
      <c r="A44" s="1" t="s">
        <v>567</v>
      </c>
      <c r="B44" s="1">
        <v>23</v>
      </c>
      <c r="C44" s="1" t="s">
        <v>564</v>
      </c>
      <c r="D44" s="1" t="s">
        <v>407</v>
      </c>
      <c r="E44" s="1" t="s">
        <v>26</v>
      </c>
      <c r="F44" s="2">
        <v>46028</v>
      </c>
      <c r="G44" s="1">
        <v>2026</v>
      </c>
      <c r="H44" s="1" t="s">
        <v>5</v>
      </c>
      <c r="I44" s="1" t="s">
        <v>127</v>
      </c>
      <c r="J44" s="1">
        <v>0</v>
      </c>
      <c r="K44" s="7">
        <v>50000</v>
      </c>
      <c r="L44" s="7">
        <v>0</v>
      </c>
      <c r="M44" s="7">
        <f t="shared" ref="M44:M67" si="2">K44-L44</f>
        <v>50000</v>
      </c>
      <c r="N44" s="9">
        <v>4</v>
      </c>
      <c r="O44" s="9">
        <v>2026</v>
      </c>
      <c r="P44" s="1">
        <v>1</v>
      </c>
      <c r="Q44" s="1" t="s">
        <v>84</v>
      </c>
      <c r="R44" s="1">
        <v>416</v>
      </c>
      <c r="T44" s="1" t="s">
        <v>36</v>
      </c>
    </row>
    <row r="45" spans="1:21" x14ac:dyDescent="0.25">
      <c r="A45" s="1" t="s">
        <v>566</v>
      </c>
      <c r="B45" s="1">
        <v>23</v>
      </c>
      <c r="C45" s="1" t="s">
        <v>564</v>
      </c>
      <c r="D45" s="1" t="s">
        <v>407</v>
      </c>
      <c r="E45" s="1" t="s">
        <v>26</v>
      </c>
      <c r="F45" s="2">
        <v>46028</v>
      </c>
      <c r="G45" s="1">
        <v>2026</v>
      </c>
      <c r="H45" s="1" t="s">
        <v>4</v>
      </c>
      <c r="I45" s="1" t="s">
        <v>127</v>
      </c>
      <c r="J45" s="1">
        <v>0</v>
      </c>
      <c r="K45" s="7">
        <v>50000</v>
      </c>
      <c r="L45" s="7">
        <v>0</v>
      </c>
      <c r="M45" s="7">
        <f t="shared" si="2"/>
        <v>50000</v>
      </c>
      <c r="N45" s="9">
        <v>3</v>
      </c>
      <c r="O45" s="9">
        <v>2026</v>
      </c>
      <c r="P45" s="1">
        <v>1</v>
      </c>
      <c r="Q45" s="1" t="s">
        <v>84</v>
      </c>
      <c r="R45" s="1">
        <v>416</v>
      </c>
      <c r="T45" s="1" t="s">
        <v>36</v>
      </c>
    </row>
    <row r="46" spans="1:21" x14ac:dyDescent="0.25">
      <c r="A46" s="1" t="s">
        <v>565</v>
      </c>
      <c r="B46" s="1">
        <v>23</v>
      </c>
      <c r="C46" s="1" t="s">
        <v>564</v>
      </c>
      <c r="D46" s="1" t="s">
        <v>407</v>
      </c>
      <c r="E46" s="1" t="s">
        <v>26</v>
      </c>
      <c r="F46" s="2">
        <v>46028</v>
      </c>
      <c r="G46" s="1">
        <v>2026</v>
      </c>
      <c r="H46" s="1" t="s">
        <v>3</v>
      </c>
      <c r="I46" s="1" t="s">
        <v>127</v>
      </c>
      <c r="J46" s="1">
        <v>0</v>
      </c>
      <c r="K46" s="7">
        <v>50000</v>
      </c>
      <c r="L46" s="7">
        <v>0</v>
      </c>
      <c r="M46" s="7">
        <f t="shared" si="2"/>
        <v>50000</v>
      </c>
      <c r="N46" s="9">
        <v>2</v>
      </c>
      <c r="O46" s="9">
        <v>2026</v>
      </c>
      <c r="P46" s="1">
        <v>1</v>
      </c>
      <c r="Q46" s="1" t="s">
        <v>84</v>
      </c>
      <c r="R46" s="1">
        <v>416</v>
      </c>
      <c r="T46" s="1" t="s">
        <v>36</v>
      </c>
    </row>
    <row r="47" spans="1:21" x14ac:dyDescent="0.25">
      <c r="A47" s="1" t="s">
        <v>563</v>
      </c>
      <c r="B47" s="1">
        <v>23</v>
      </c>
      <c r="C47" s="1" t="s">
        <v>564</v>
      </c>
      <c r="D47" s="1" t="s">
        <v>407</v>
      </c>
      <c r="E47" s="1" t="s">
        <v>26</v>
      </c>
      <c r="F47" s="2">
        <v>46028</v>
      </c>
      <c r="G47" s="1">
        <v>2026</v>
      </c>
      <c r="H47" s="1" t="s">
        <v>2</v>
      </c>
      <c r="I47" s="1" t="s">
        <v>127</v>
      </c>
      <c r="J47" s="1">
        <v>0</v>
      </c>
      <c r="K47" s="7">
        <v>50000</v>
      </c>
      <c r="L47" s="7">
        <v>0</v>
      </c>
      <c r="M47" s="7">
        <f t="shared" si="2"/>
        <v>50000</v>
      </c>
      <c r="N47" s="9">
        <v>1</v>
      </c>
      <c r="O47" s="9">
        <v>2026</v>
      </c>
      <c r="P47" s="1">
        <v>1</v>
      </c>
      <c r="Q47" s="1" t="s">
        <v>84</v>
      </c>
      <c r="R47" s="1">
        <v>416</v>
      </c>
      <c r="T47" s="1" t="s">
        <v>36</v>
      </c>
    </row>
    <row r="48" spans="1:21" x14ac:dyDescent="0.25">
      <c r="A48" s="1" t="s">
        <v>545</v>
      </c>
      <c r="B48" s="1">
        <v>19</v>
      </c>
      <c r="C48" s="1" t="s">
        <v>338</v>
      </c>
      <c r="D48" s="1" t="s">
        <v>339</v>
      </c>
      <c r="E48" s="1" t="s">
        <v>558</v>
      </c>
      <c r="F48" s="2">
        <v>46027</v>
      </c>
      <c r="G48" s="1">
        <v>2026</v>
      </c>
      <c r="H48" s="1" t="s">
        <v>2</v>
      </c>
      <c r="I48" s="1" t="s">
        <v>127</v>
      </c>
      <c r="J48" s="1">
        <v>0</v>
      </c>
      <c r="K48" s="7">
        <v>50000</v>
      </c>
      <c r="L48" s="7">
        <f>J48*1000</f>
        <v>0</v>
      </c>
      <c r="M48" s="7">
        <f t="shared" si="2"/>
        <v>50000</v>
      </c>
      <c r="N48" s="9">
        <v>1</v>
      </c>
      <c r="O48" s="9">
        <v>2026</v>
      </c>
      <c r="P48" s="1">
        <v>1</v>
      </c>
      <c r="Q48" s="1" t="s">
        <v>33</v>
      </c>
      <c r="R48" s="1" t="s">
        <v>546</v>
      </c>
      <c r="S48" s="1">
        <v>6852</v>
      </c>
      <c r="T48" s="1" t="s">
        <v>36</v>
      </c>
      <c r="U48" s="1" t="s">
        <v>561</v>
      </c>
    </row>
    <row r="49" spans="1:21" x14ac:dyDescent="0.25">
      <c r="A49" s="1" t="s">
        <v>547</v>
      </c>
      <c r="B49" s="1">
        <v>19</v>
      </c>
      <c r="C49" s="1" t="s">
        <v>338</v>
      </c>
      <c r="D49" s="1" t="s">
        <v>339</v>
      </c>
      <c r="E49" s="1" t="s">
        <v>558</v>
      </c>
      <c r="F49" s="2">
        <v>46027</v>
      </c>
      <c r="G49" s="1">
        <v>2026</v>
      </c>
      <c r="H49" s="1" t="s">
        <v>3</v>
      </c>
      <c r="I49" s="1" t="s">
        <v>127</v>
      </c>
      <c r="J49" s="1">
        <v>0</v>
      </c>
      <c r="K49" s="7">
        <v>50000</v>
      </c>
      <c r="L49" s="7">
        <f>J49*1000</f>
        <v>0</v>
      </c>
      <c r="M49" s="7">
        <f t="shared" si="2"/>
        <v>50000</v>
      </c>
      <c r="N49" s="9">
        <v>2</v>
      </c>
      <c r="O49" s="9">
        <v>2026</v>
      </c>
      <c r="P49" s="1">
        <v>1</v>
      </c>
      <c r="Q49" s="1" t="s">
        <v>33</v>
      </c>
      <c r="R49" s="1" t="s">
        <v>546</v>
      </c>
      <c r="S49" s="1">
        <v>6852</v>
      </c>
      <c r="T49" s="1" t="s">
        <v>36</v>
      </c>
      <c r="U49" s="1" t="s">
        <v>561</v>
      </c>
    </row>
    <row r="50" spans="1:21" x14ac:dyDescent="0.25">
      <c r="A50" s="1" t="s">
        <v>559</v>
      </c>
      <c r="B50" s="1">
        <v>19</v>
      </c>
      <c r="C50" s="1" t="s">
        <v>338</v>
      </c>
      <c r="D50" s="1" t="s">
        <v>339</v>
      </c>
      <c r="E50" s="1" t="s">
        <v>558</v>
      </c>
      <c r="F50" s="2">
        <v>46027</v>
      </c>
      <c r="G50" s="1">
        <v>2026</v>
      </c>
      <c r="H50" s="1" t="s">
        <v>2</v>
      </c>
      <c r="I50" s="1" t="s">
        <v>127</v>
      </c>
      <c r="J50" s="1">
        <v>0</v>
      </c>
      <c r="K50" s="7">
        <v>600000</v>
      </c>
      <c r="L50" s="7">
        <f>J50*1000</f>
        <v>0</v>
      </c>
      <c r="M50" s="7">
        <f t="shared" si="2"/>
        <v>600000</v>
      </c>
      <c r="N50" s="9">
        <v>1</v>
      </c>
      <c r="O50" s="9">
        <v>2026</v>
      </c>
      <c r="P50" s="1">
        <v>1</v>
      </c>
      <c r="Q50" s="1" t="s">
        <v>33</v>
      </c>
      <c r="T50" s="1" t="s">
        <v>36</v>
      </c>
      <c r="U50" s="1" t="s">
        <v>562</v>
      </c>
    </row>
    <row r="51" spans="1:21" x14ac:dyDescent="0.25">
      <c r="A51" s="1" t="s">
        <v>560</v>
      </c>
      <c r="B51" s="1">
        <v>19</v>
      </c>
      <c r="C51" s="1" t="s">
        <v>338</v>
      </c>
      <c r="D51" s="1" t="s">
        <v>339</v>
      </c>
      <c r="E51" s="1" t="s">
        <v>558</v>
      </c>
      <c r="F51" s="2">
        <v>46027</v>
      </c>
      <c r="G51" s="1">
        <v>2026</v>
      </c>
      <c r="H51" s="1" t="s">
        <v>2</v>
      </c>
      <c r="I51" s="1" t="s">
        <v>127</v>
      </c>
      <c r="J51" s="1">
        <v>0</v>
      </c>
      <c r="K51" s="7">
        <v>80000</v>
      </c>
      <c r="L51" s="7">
        <f>J51*1000</f>
        <v>0</v>
      </c>
      <c r="M51" s="7">
        <f t="shared" si="2"/>
        <v>80000</v>
      </c>
      <c r="N51" s="9">
        <v>1</v>
      </c>
      <c r="O51" s="9">
        <v>2026</v>
      </c>
      <c r="P51" s="1">
        <v>1</v>
      </c>
      <c r="Q51" s="1" t="s">
        <v>33</v>
      </c>
      <c r="R51" s="1" t="s">
        <v>557</v>
      </c>
      <c r="S51" s="1">
        <v>6852</v>
      </c>
      <c r="T51" s="1" t="s">
        <v>36</v>
      </c>
    </row>
    <row r="52" spans="1:21" x14ac:dyDescent="0.25">
      <c r="A52" s="1" t="s">
        <v>530</v>
      </c>
      <c r="B52" s="1">
        <v>13</v>
      </c>
      <c r="C52" s="1" t="s">
        <v>398</v>
      </c>
      <c r="D52" s="1" t="s">
        <v>399</v>
      </c>
      <c r="E52" s="1" t="s">
        <v>26</v>
      </c>
      <c r="F52" s="2">
        <v>46027</v>
      </c>
      <c r="G52" s="1">
        <v>2026</v>
      </c>
      <c r="H52" s="1" t="s">
        <v>2</v>
      </c>
      <c r="I52" s="1" t="s">
        <v>127</v>
      </c>
      <c r="J52" s="1">
        <v>0</v>
      </c>
      <c r="K52" s="7">
        <v>100000</v>
      </c>
      <c r="L52" s="7">
        <v>0</v>
      </c>
      <c r="M52" s="7">
        <f t="shared" si="2"/>
        <v>100000</v>
      </c>
      <c r="N52" s="9">
        <v>1</v>
      </c>
      <c r="O52" s="9">
        <v>2026</v>
      </c>
      <c r="P52" s="1">
        <v>1</v>
      </c>
      <c r="Q52" s="1" t="s">
        <v>39</v>
      </c>
      <c r="R52" s="1">
        <v>8416</v>
      </c>
      <c r="T52" s="1" t="s">
        <v>36</v>
      </c>
    </row>
    <row r="53" spans="1:21" x14ac:dyDescent="0.25">
      <c r="A53" s="1" t="s">
        <v>551</v>
      </c>
      <c r="B53" s="1">
        <v>12</v>
      </c>
      <c r="C53" s="1" t="s">
        <v>521</v>
      </c>
      <c r="D53" s="1" t="s">
        <v>522</v>
      </c>
      <c r="E53" s="1" t="s">
        <v>26</v>
      </c>
      <c r="F53" s="2">
        <v>46027</v>
      </c>
      <c r="G53" s="1">
        <v>2026</v>
      </c>
      <c r="H53" s="1" t="s">
        <v>2</v>
      </c>
      <c r="I53" s="1" t="s">
        <v>127</v>
      </c>
      <c r="J53" s="1">
        <v>0</v>
      </c>
      <c r="K53" s="7">
        <v>50000</v>
      </c>
      <c r="L53" s="7">
        <v>0</v>
      </c>
      <c r="M53" s="7">
        <f t="shared" si="2"/>
        <v>50000</v>
      </c>
      <c r="N53" s="9">
        <v>1</v>
      </c>
      <c r="O53" s="9">
        <v>2026</v>
      </c>
      <c r="P53" s="1">
        <v>1</v>
      </c>
      <c r="Q53" s="1" t="s">
        <v>33</v>
      </c>
      <c r="R53" s="1">
        <v>7236</v>
      </c>
      <c r="T53" s="1" t="s">
        <v>36</v>
      </c>
    </row>
    <row r="54" spans="1:21" x14ac:dyDescent="0.25">
      <c r="A54" s="1" t="s">
        <v>550</v>
      </c>
      <c r="B54" s="1">
        <v>20</v>
      </c>
      <c r="C54" s="1" t="s">
        <v>520</v>
      </c>
      <c r="D54" s="1" t="s">
        <v>410</v>
      </c>
      <c r="E54" s="1" t="s">
        <v>26</v>
      </c>
      <c r="F54" s="2">
        <v>46027</v>
      </c>
      <c r="G54" s="1">
        <v>2026</v>
      </c>
      <c r="H54" s="1" t="s">
        <v>2</v>
      </c>
      <c r="I54" s="1" t="s">
        <v>127</v>
      </c>
      <c r="J54" s="1">
        <v>0</v>
      </c>
      <c r="K54" s="7">
        <v>150000</v>
      </c>
      <c r="L54" s="7">
        <v>0</v>
      </c>
      <c r="M54" s="7">
        <f t="shared" si="2"/>
        <v>150000</v>
      </c>
      <c r="N54" s="9">
        <v>1</v>
      </c>
      <c r="O54" s="9">
        <v>2026</v>
      </c>
      <c r="P54" s="1">
        <v>1</v>
      </c>
      <c r="Q54" s="1" t="s">
        <v>33</v>
      </c>
      <c r="R54" s="1">
        <v>8846</v>
      </c>
      <c r="T54" s="1" t="s">
        <v>36</v>
      </c>
    </row>
    <row r="55" spans="1:21" x14ac:dyDescent="0.25">
      <c r="A55" s="1" t="s">
        <v>554</v>
      </c>
      <c r="B55" s="1">
        <v>4</v>
      </c>
      <c r="C55" s="1" t="s">
        <v>525</v>
      </c>
      <c r="D55" s="1" t="s">
        <v>526</v>
      </c>
      <c r="E55" s="1" t="s">
        <v>26</v>
      </c>
      <c r="F55" s="2">
        <v>46027</v>
      </c>
      <c r="G55" s="1">
        <v>2026</v>
      </c>
      <c r="H55" s="1" t="s">
        <v>2</v>
      </c>
      <c r="I55" s="1" t="s">
        <v>127</v>
      </c>
      <c r="J55" s="1">
        <v>0</v>
      </c>
      <c r="K55" s="7">
        <v>100000</v>
      </c>
      <c r="L55" s="7">
        <f>J55*1000</f>
        <v>0</v>
      </c>
      <c r="M55" s="7">
        <f t="shared" si="2"/>
        <v>100000</v>
      </c>
      <c r="N55" s="9">
        <v>1</v>
      </c>
      <c r="O55" s="9">
        <v>2026</v>
      </c>
      <c r="P55" s="1">
        <v>1</v>
      </c>
      <c r="Q55" s="1" t="s">
        <v>39</v>
      </c>
      <c r="R55" s="1" t="s">
        <v>555</v>
      </c>
      <c r="T55" s="1" t="s">
        <v>36</v>
      </c>
    </row>
    <row r="56" spans="1:21" x14ac:dyDescent="0.25">
      <c r="A56" s="1" t="s">
        <v>531</v>
      </c>
      <c r="B56" s="1">
        <v>7</v>
      </c>
      <c r="C56" s="1" t="s">
        <v>514</v>
      </c>
      <c r="D56" s="1" t="s">
        <v>515</v>
      </c>
      <c r="E56" s="1" t="s">
        <v>26</v>
      </c>
      <c r="F56" s="2">
        <v>46027</v>
      </c>
      <c r="G56" s="1">
        <v>2026</v>
      </c>
      <c r="H56" s="1" t="s">
        <v>2</v>
      </c>
      <c r="I56" s="1" t="s">
        <v>127</v>
      </c>
      <c r="J56" s="1">
        <v>0</v>
      </c>
      <c r="K56" s="7">
        <v>50000</v>
      </c>
      <c r="L56" s="7">
        <v>0</v>
      </c>
      <c r="M56" s="7">
        <f t="shared" si="2"/>
        <v>50000</v>
      </c>
      <c r="N56" s="9">
        <v>1</v>
      </c>
      <c r="O56" s="9">
        <v>2026</v>
      </c>
      <c r="P56" s="1">
        <v>1</v>
      </c>
      <c r="Q56" s="1" t="s">
        <v>80</v>
      </c>
      <c r="R56" s="1">
        <v>8496</v>
      </c>
      <c r="S56" s="1">
        <v>9030</v>
      </c>
      <c r="T56" s="1" t="s">
        <v>36</v>
      </c>
    </row>
    <row r="57" spans="1:21" x14ac:dyDescent="0.25">
      <c r="A57" s="1" t="s">
        <v>532</v>
      </c>
      <c r="B57" s="1">
        <v>7</v>
      </c>
      <c r="C57" s="1" t="s">
        <v>514</v>
      </c>
      <c r="D57" s="1" t="s">
        <v>515</v>
      </c>
      <c r="E57" s="1" t="s">
        <v>26</v>
      </c>
      <c r="F57" s="2">
        <v>46027</v>
      </c>
      <c r="G57" s="1">
        <v>2026</v>
      </c>
      <c r="H57" s="1" t="s">
        <v>3</v>
      </c>
      <c r="I57" s="1" t="s">
        <v>127</v>
      </c>
      <c r="J57" s="1">
        <v>0</v>
      </c>
      <c r="K57" s="7">
        <v>50000</v>
      </c>
      <c r="L57" s="7">
        <v>0</v>
      </c>
      <c r="M57" s="7">
        <f t="shared" si="2"/>
        <v>50000</v>
      </c>
      <c r="N57" s="9">
        <v>2</v>
      </c>
      <c r="O57" s="9">
        <v>2026</v>
      </c>
      <c r="P57" s="1">
        <v>1</v>
      </c>
      <c r="Q57" s="1" t="s">
        <v>80</v>
      </c>
      <c r="R57" s="1">
        <v>8496</v>
      </c>
      <c r="S57" s="1">
        <v>9030</v>
      </c>
      <c r="T57" s="1" t="s">
        <v>36</v>
      </c>
    </row>
    <row r="58" spans="1:21" x14ac:dyDescent="0.25">
      <c r="A58" s="1" t="s">
        <v>533</v>
      </c>
      <c r="B58" s="1">
        <v>7</v>
      </c>
      <c r="C58" s="1" t="s">
        <v>514</v>
      </c>
      <c r="D58" s="1" t="s">
        <v>515</v>
      </c>
      <c r="E58" s="1" t="s">
        <v>26</v>
      </c>
      <c r="F58" s="2">
        <v>46027</v>
      </c>
      <c r="G58" s="1">
        <v>2026</v>
      </c>
      <c r="H58" s="1" t="s">
        <v>4</v>
      </c>
      <c r="I58" s="1" t="s">
        <v>127</v>
      </c>
      <c r="J58" s="1">
        <v>0</v>
      </c>
      <c r="K58" s="7">
        <v>50000</v>
      </c>
      <c r="L58" s="7">
        <v>0</v>
      </c>
      <c r="M58" s="7">
        <f t="shared" si="2"/>
        <v>50000</v>
      </c>
      <c r="N58" s="9">
        <v>3</v>
      </c>
      <c r="O58" s="9">
        <v>2026</v>
      </c>
      <c r="P58" s="1">
        <v>1</v>
      </c>
      <c r="Q58" s="1" t="s">
        <v>80</v>
      </c>
      <c r="R58" s="1">
        <v>8496</v>
      </c>
      <c r="S58" s="1">
        <v>9030</v>
      </c>
      <c r="T58" s="1" t="s">
        <v>36</v>
      </c>
    </row>
    <row r="59" spans="1:21" x14ac:dyDescent="0.25">
      <c r="A59" s="1" t="s">
        <v>534</v>
      </c>
      <c r="B59" s="1">
        <v>7</v>
      </c>
      <c r="C59" s="1" t="s">
        <v>514</v>
      </c>
      <c r="D59" s="1" t="s">
        <v>515</v>
      </c>
      <c r="E59" s="1" t="s">
        <v>26</v>
      </c>
      <c r="F59" s="2">
        <v>46027</v>
      </c>
      <c r="G59" s="1">
        <v>2026</v>
      </c>
      <c r="H59" s="1" t="s">
        <v>5</v>
      </c>
      <c r="I59" s="1" t="s">
        <v>127</v>
      </c>
      <c r="J59" s="1">
        <v>0</v>
      </c>
      <c r="K59" s="7">
        <v>50000</v>
      </c>
      <c r="L59" s="7">
        <v>0</v>
      </c>
      <c r="M59" s="7">
        <f t="shared" si="2"/>
        <v>50000</v>
      </c>
      <c r="N59" s="9">
        <v>4</v>
      </c>
      <c r="O59" s="9">
        <v>2026</v>
      </c>
      <c r="P59" s="1">
        <v>1</v>
      </c>
      <c r="Q59" s="1" t="s">
        <v>80</v>
      </c>
      <c r="R59" s="1">
        <v>8496</v>
      </c>
      <c r="S59" s="1">
        <v>9030</v>
      </c>
      <c r="T59" s="1" t="s">
        <v>36</v>
      </c>
    </row>
    <row r="60" spans="1:21" x14ac:dyDescent="0.25">
      <c r="A60" s="1" t="s">
        <v>535</v>
      </c>
      <c r="B60" s="1">
        <v>7</v>
      </c>
      <c r="C60" s="1" t="s">
        <v>514</v>
      </c>
      <c r="D60" s="1" t="s">
        <v>515</v>
      </c>
      <c r="E60" s="1" t="s">
        <v>26</v>
      </c>
      <c r="F60" s="2">
        <v>46027</v>
      </c>
      <c r="G60" s="1">
        <v>2026</v>
      </c>
      <c r="H60" s="1" t="s">
        <v>6</v>
      </c>
      <c r="I60" s="1" t="s">
        <v>127</v>
      </c>
      <c r="J60" s="1">
        <v>0</v>
      </c>
      <c r="K60" s="7">
        <v>50000</v>
      </c>
      <c r="L60" s="7">
        <v>0</v>
      </c>
      <c r="M60" s="7">
        <f t="shared" si="2"/>
        <v>50000</v>
      </c>
      <c r="N60" s="9">
        <v>5</v>
      </c>
      <c r="O60" s="9">
        <v>2026</v>
      </c>
      <c r="P60" s="1">
        <v>1</v>
      </c>
      <c r="Q60" s="1" t="s">
        <v>80</v>
      </c>
      <c r="R60" s="1">
        <v>8496</v>
      </c>
      <c r="S60" s="1">
        <v>9030</v>
      </c>
      <c r="T60" s="1" t="s">
        <v>36</v>
      </c>
    </row>
    <row r="61" spans="1:21" x14ac:dyDescent="0.25">
      <c r="A61" s="1" t="s">
        <v>536</v>
      </c>
      <c r="B61" s="1">
        <v>7</v>
      </c>
      <c r="C61" s="1" t="s">
        <v>514</v>
      </c>
      <c r="D61" s="1" t="s">
        <v>515</v>
      </c>
      <c r="E61" s="1" t="s">
        <v>26</v>
      </c>
      <c r="F61" s="2">
        <v>46027</v>
      </c>
      <c r="G61" s="1">
        <v>2026</v>
      </c>
      <c r="H61" s="1" t="s">
        <v>7</v>
      </c>
      <c r="I61" s="1" t="s">
        <v>127</v>
      </c>
      <c r="J61" s="1">
        <v>0</v>
      </c>
      <c r="K61" s="7">
        <v>50000</v>
      </c>
      <c r="L61" s="7">
        <v>0</v>
      </c>
      <c r="M61" s="7">
        <f t="shared" si="2"/>
        <v>50000</v>
      </c>
      <c r="N61" s="9">
        <v>6</v>
      </c>
      <c r="O61" s="9">
        <v>2026</v>
      </c>
      <c r="P61" s="1">
        <v>1</v>
      </c>
      <c r="Q61" s="1" t="s">
        <v>80</v>
      </c>
      <c r="R61" s="1">
        <v>8496</v>
      </c>
      <c r="S61" s="1">
        <v>9030</v>
      </c>
      <c r="T61" s="1" t="s">
        <v>36</v>
      </c>
    </row>
    <row r="62" spans="1:21" x14ac:dyDescent="0.25">
      <c r="A62" s="1" t="s">
        <v>537</v>
      </c>
      <c r="B62" s="1">
        <v>7</v>
      </c>
      <c r="C62" s="1" t="s">
        <v>514</v>
      </c>
      <c r="D62" s="1" t="s">
        <v>515</v>
      </c>
      <c r="E62" s="1" t="s">
        <v>26</v>
      </c>
      <c r="F62" s="2">
        <v>46027</v>
      </c>
      <c r="G62" s="1">
        <v>2026</v>
      </c>
      <c r="H62" s="1" t="s">
        <v>8</v>
      </c>
      <c r="I62" s="1" t="s">
        <v>127</v>
      </c>
      <c r="J62" s="1">
        <v>0</v>
      </c>
      <c r="K62" s="7">
        <v>50000</v>
      </c>
      <c r="L62" s="7">
        <v>0</v>
      </c>
      <c r="M62" s="7">
        <f t="shared" si="2"/>
        <v>50000</v>
      </c>
      <c r="N62" s="9">
        <v>7</v>
      </c>
      <c r="O62" s="9">
        <v>2026</v>
      </c>
      <c r="P62" s="1">
        <v>1</v>
      </c>
      <c r="Q62" s="1" t="s">
        <v>80</v>
      </c>
      <c r="R62" s="1">
        <v>8496</v>
      </c>
      <c r="S62" s="1">
        <v>9030</v>
      </c>
      <c r="T62" s="1" t="s">
        <v>36</v>
      </c>
    </row>
    <row r="63" spans="1:21" x14ac:dyDescent="0.25">
      <c r="A63" s="1" t="s">
        <v>538</v>
      </c>
      <c r="B63" s="1">
        <v>7</v>
      </c>
      <c r="C63" s="1" t="s">
        <v>514</v>
      </c>
      <c r="D63" s="1" t="s">
        <v>515</v>
      </c>
      <c r="E63" s="1" t="s">
        <v>26</v>
      </c>
      <c r="F63" s="2">
        <v>46027</v>
      </c>
      <c r="G63" s="1">
        <v>2026</v>
      </c>
      <c r="H63" s="1" t="s">
        <v>9</v>
      </c>
      <c r="I63" s="1" t="s">
        <v>127</v>
      </c>
      <c r="J63" s="1">
        <v>0</v>
      </c>
      <c r="K63" s="7">
        <v>50000</v>
      </c>
      <c r="L63" s="7">
        <v>0</v>
      </c>
      <c r="M63" s="7">
        <f t="shared" si="2"/>
        <v>50000</v>
      </c>
      <c r="N63" s="9">
        <v>8</v>
      </c>
      <c r="O63" s="9">
        <v>2026</v>
      </c>
      <c r="P63" s="1">
        <v>1</v>
      </c>
      <c r="Q63" s="1" t="s">
        <v>80</v>
      </c>
      <c r="R63" s="1">
        <v>8496</v>
      </c>
      <c r="S63" s="1">
        <v>9030</v>
      </c>
      <c r="T63" s="1" t="s">
        <v>36</v>
      </c>
    </row>
    <row r="64" spans="1:21" x14ac:dyDescent="0.25">
      <c r="A64" s="1" t="s">
        <v>539</v>
      </c>
      <c r="B64" s="1">
        <v>7</v>
      </c>
      <c r="C64" s="1" t="s">
        <v>514</v>
      </c>
      <c r="D64" s="1" t="s">
        <v>515</v>
      </c>
      <c r="E64" s="1" t="s">
        <v>26</v>
      </c>
      <c r="F64" s="2">
        <v>46027</v>
      </c>
      <c r="G64" s="1">
        <v>2026</v>
      </c>
      <c r="H64" s="1" t="s">
        <v>10</v>
      </c>
      <c r="I64" s="1" t="s">
        <v>127</v>
      </c>
      <c r="J64" s="1">
        <v>0</v>
      </c>
      <c r="K64" s="7">
        <v>50000</v>
      </c>
      <c r="L64" s="7">
        <v>0</v>
      </c>
      <c r="M64" s="7">
        <f t="shared" si="2"/>
        <v>50000</v>
      </c>
      <c r="N64" s="9">
        <v>9</v>
      </c>
      <c r="O64" s="9">
        <v>2026</v>
      </c>
      <c r="P64" s="1">
        <v>1</v>
      </c>
      <c r="Q64" s="1" t="s">
        <v>80</v>
      </c>
      <c r="R64" s="1">
        <v>8496</v>
      </c>
      <c r="S64" s="1">
        <v>9030</v>
      </c>
      <c r="T64" s="1" t="s">
        <v>36</v>
      </c>
    </row>
    <row r="65" spans="1:20" x14ac:dyDescent="0.25">
      <c r="A65" s="1" t="s">
        <v>540</v>
      </c>
      <c r="B65" s="1">
        <v>7</v>
      </c>
      <c r="C65" s="1" t="s">
        <v>514</v>
      </c>
      <c r="D65" s="1" t="s">
        <v>515</v>
      </c>
      <c r="E65" s="1" t="s">
        <v>26</v>
      </c>
      <c r="F65" s="2">
        <v>46027</v>
      </c>
      <c r="G65" s="1">
        <v>2026</v>
      </c>
      <c r="H65" s="1" t="s">
        <v>14</v>
      </c>
      <c r="I65" s="1" t="s">
        <v>127</v>
      </c>
      <c r="J65" s="1">
        <v>0</v>
      </c>
      <c r="K65" s="7">
        <v>50000</v>
      </c>
      <c r="L65" s="7">
        <v>0</v>
      </c>
      <c r="M65" s="7">
        <f t="shared" si="2"/>
        <v>50000</v>
      </c>
      <c r="N65" s="9">
        <v>10</v>
      </c>
      <c r="O65" s="9">
        <v>2026</v>
      </c>
      <c r="P65" s="1">
        <v>1</v>
      </c>
      <c r="Q65" s="1" t="s">
        <v>80</v>
      </c>
      <c r="R65" s="1">
        <v>8496</v>
      </c>
      <c r="S65" s="1">
        <v>9030</v>
      </c>
      <c r="T65" s="1" t="s">
        <v>36</v>
      </c>
    </row>
    <row r="66" spans="1:20" x14ac:dyDescent="0.25">
      <c r="A66" s="1" t="s">
        <v>541</v>
      </c>
      <c r="B66" s="1">
        <v>7</v>
      </c>
      <c r="C66" s="1" t="s">
        <v>514</v>
      </c>
      <c r="D66" s="1" t="s">
        <v>515</v>
      </c>
      <c r="E66" s="1" t="s">
        <v>26</v>
      </c>
      <c r="F66" s="2">
        <v>46027</v>
      </c>
      <c r="G66" s="1">
        <v>2026</v>
      </c>
      <c r="H66" s="1" t="s">
        <v>17</v>
      </c>
      <c r="I66" s="1" t="s">
        <v>127</v>
      </c>
      <c r="J66" s="1">
        <v>0</v>
      </c>
      <c r="K66" s="7">
        <v>50000</v>
      </c>
      <c r="L66" s="7">
        <v>0</v>
      </c>
      <c r="M66" s="7">
        <f t="shared" si="2"/>
        <v>50000</v>
      </c>
      <c r="N66" s="9">
        <v>11</v>
      </c>
      <c r="O66" s="9">
        <v>2026</v>
      </c>
      <c r="P66" s="1">
        <v>1</v>
      </c>
      <c r="Q66" s="1" t="s">
        <v>80</v>
      </c>
      <c r="R66" s="1">
        <v>8496</v>
      </c>
      <c r="S66" s="1">
        <v>9030</v>
      </c>
      <c r="T66" s="1" t="s">
        <v>36</v>
      </c>
    </row>
    <row r="67" spans="1:20" x14ac:dyDescent="0.25">
      <c r="A67" s="1" t="s">
        <v>542</v>
      </c>
      <c r="B67" s="1">
        <v>7</v>
      </c>
      <c r="C67" s="1" t="s">
        <v>514</v>
      </c>
      <c r="D67" s="1" t="s">
        <v>515</v>
      </c>
      <c r="E67" s="1" t="s">
        <v>26</v>
      </c>
      <c r="F67" s="2">
        <v>46027</v>
      </c>
      <c r="G67" s="1">
        <v>2026</v>
      </c>
      <c r="H67" s="1" t="s">
        <v>16</v>
      </c>
      <c r="I67" s="1" t="s">
        <v>127</v>
      </c>
      <c r="J67" s="1">
        <v>0</v>
      </c>
      <c r="K67" s="7">
        <v>50000</v>
      </c>
      <c r="L67" s="7">
        <v>0</v>
      </c>
      <c r="M67" s="7">
        <f t="shared" si="2"/>
        <v>50000</v>
      </c>
      <c r="N67" s="9">
        <v>12</v>
      </c>
      <c r="O67" s="9">
        <v>2026</v>
      </c>
      <c r="P67" s="1">
        <v>1</v>
      </c>
      <c r="Q67" s="1" t="s">
        <v>80</v>
      </c>
      <c r="R67" s="1">
        <v>8496</v>
      </c>
      <c r="S67" s="1">
        <v>9030</v>
      </c>
      <c r="T67" s="1" t="s">
        <v>36</v>
      </c>
    </row>
    <row r="68" spans="1:20" x14ac:dyDescent="0.25">
      <c r="A68" s="1" t="s">
        <v>553</v>
      </c>
      <c r="B68" s="1">
        <v>16</v>
      </c>
      <c r="C68" s="1" t="s">
        <v>422</v>
      </c>
      <c r="D68" s="1" t="s">
        <v>407</v>
      </c>
      <c r="E68" s="1" t="s">
        <v>26</v>
      </c>
      <c r="F68" s="2">
        <v>46027</v>
      </c>
      <c r="G68" s="1">
        <v>2026</v>
      </c>
      <c r="H68" s="1" t="s">
        <v>2</v>
      </c>
      <c r="I68" s="1" t="s">
        <v>127</v>
      </c>
      <c r="J68" s="1">
        <v>0</v>
      </c>
      <c r="K68" s="7">
        <v>50000</v>
      </c>
      <c r="L68" s="7">
        <v>0</v>
      </c>
      <c r="M68" s="7">
        <v>50000</v>
      </c>
      <c r="N68" s="9">
        <v>1</v>
      </c>
      <c r="O68" s="9">
        <v>2026</v>
      </c>
      <c r="P68" s="1">
        <v>1</v>
      </c>
      <c r="Q68" s="1" t="s">
        <v>39</v>
      </c>
      <c r="R68" s="1" t="s">
        <v>549</v>
      </c>
      <c r="T68" s="1" t="s">
        <v>36</v>
      </c>
    </row>
    <row r="69" spans="1:20" x14ac:dyDescent="0.25">
      <c r="A69" s="1" t="s">
        <v>543</v>
      </c>
      <c r="B69" s="1">
        <v>22</v>
      </c>
      <c r="C69" s="1" t="s">
        <v>544</v>
      </c>
      <c r="D69" s="1" t="s">
        <v>410</v>
      </c>
      <c r="E69" s="1" t="s">
        <v>26</v>
      </c>
      <c r="F69" s="2">
        <v>46027</v>
      </c>
      <c r="G69" s="1">
        <v>2026</v>
      </c>
      <c r="H69" s="1" t="s">
        <v>2</v>
      </c>
      <c r="I69" s="1" t="s">
        <v>127</v>
      </c>
      <c r="J69" s="1">
        <v>0</v>
      </c>
      <c r="K69" s="7">
        <v>50000</v>
      </c>
      <c r="L69" s="7">
        <v>0</v>
      </c>
      <c r="M69" s="7">
        <f t="shared" ref="M69:M100" si="3">K69-L69</f>
        <v>50000</v>
      </c>
      <c r="N69" s="9">
        <v>1</v>
      </c>
      <c r="O69" s="9">
        <v>2026</v>
      </c>
      <c r="P69" s="1">
        <v>1</v>
      </c>
      <c r="Q69" s="1" t="s">
        <v>80</v>
      </c>
      <c r="R69" s="1">
        <v>1750</v>
      </c>
      <c r="T69" s="1" t="s">
        <v>36</v>
      </c>
    </row>
    <row r="70" spans="1:20" x14ac:dyDescent="0.25">
      <c r="A70" s="1" t="s">
        <v>548</v>
      </c>
      <c r="B70" s="1">
        <v>1</v>
      </c>
      <c r="C70" s="1" t="s">
        <v>527</v>
      </c>
      <c r="D70" s="1" t="s">
        <v>346</v>
      </c>
      <c r="E70" s="1" t="s">
        <v>26</v>
      </c>
      <c r="F70" s="2">
        <v>46027</v>
      </c>
      <c r="G70" s="1">
        <v>2026</v>
      </c>
      <c r="H70" s="1" t="s">
        <v>2</v>
      </c>
      <c r="I70" s="1" t="s">
        <v>127</v>
      </c>
      <c r="J70" s="1">
        <v>0</v>
      </c>
      <c r="K70" s="7">
        <v>100000</v>
      </c>
      <c r="L70" s="7">
        <v>0</v>
      </c>
      <c r="M70" s="7">
        <f t="shared" si="3"/>
        <v>100000</v>
      </c>
      <c r="N70" s="9">
        <v>1</v>
      </c>
      <c r="O70" s="9">
        <v>2026</v>
      </c>
      <c r="P70" s="1">
        <v>1</v>
      </c>
      <c r="Q70" s="1" t="s">
        <v>39</v>
      </c>
      <c r="R70" s="57" t="s">
        <v>552</v>
      </c>
      <c r="S70" s="1">
        <v>9763</v>
      </c>
      <c r="T70" s="1" t="s">
        <v>36</v>
      </c>
    </row>
    <row r="71" spans="1:20" x14ac:dyDescent="0.25">
      <c r="A71" s="1" t="s">
        <v>528</v>
      </c>
      <c r="B71" s="1">
        <v>8</v>
      </c>
      <c r="C71" s="1" t="s">
        <v>409</v>
      </c>
      <c r="D71" s="1" t="s">
        <v>410</v>
      </c>
      <c r="E71" s="1" t="s">
        <v>26</v>
      </c>
      <c r="F71" s="2">
        <v>46026</v>
      </c>
      <c r="G71" s="1">
        <v>2026</v>
      </c>
      <c r="H71" s="1" t="s">
        <v>2</v>
      </c>
      <c r="I71" s="1" t="s">
        <v>127</v>
      </c>
      <c r="J71" s="1">
        <v>0</v>
      </c>
      <c r="K71" s="7">
        <v>100000</v>
      </c>
      <c r="L71" s="7">
        <v>0</v>
      </c>
      <c r="M71" s="7">
        <f t="shared" si="3"/>
        <v>100000</v>
      </c>
      <c r="N71" s="9">
        <v>1</v>
      </c>
      <c r="O71" s="9">
        <v>2026</v>
      </c>
      <c r="P71" s="1">
        <v>1</v>
      </c>
      <c r="Q71" s="1" t="s">
        <v>39</v>
      </c>
      <c r="R71" s="1" t="s">
        <v>529</v>
      </c>
      <c r="T71" s="1" t="s">
        <v>36</v>
      </c>
    </row>
    <row r="72" spans="1:20" x14ac:dyDescent="0.25">
      <c r="A72" s="1" t="s">
        <v>519</v>
      </c>
      <c r="B72" s="1">
        <v>10</v>
      </c>
      <c r="C72" s="1" t="s">
        <v>345</v>
      </c>
      <c r="D72" s="1" t="s">
        <v>346</v>
      </c>
      <c r="E72" s="1" t="s">
        <v>26</v>
      </c>
      <c r="F72" s="2">
        <v>46003</v>
      </c>
      <c r="G72" s="1">
        <v>2025</v>
      </c>
      <c r="H72" s="1" t="s">
        <v>16</v>
      </c>
      <c r="I72" s="1" t="s">
        <v>127</v>
      </c>
      <c r="J72" s="1">
        <f t="shared" ref="J72:J78" si="4">0*0</f>
        <v>0</v>
      </c>
      <c r="K72" s="7">
        <v>100000</v>
      </c>
      <c r="L72" s="7">
        <v>0</v>
      </c>
      <c r="M72" s="7">
        <f t="shared" si="3"/>
        <v>100000</v>
      </c>
      <c r="N72" s="9">
        <v>12</v>
      </c>
      <c r="O72" s="9">
        <v>2025</v>
      </c>
      <c r="P72" s="1">
        <v>1</v>
      </c>
      <c r="Q72" s="1" t="s">
        <v>84</v>
      </c>
      <c r="R72" s="1">
        <v>9899</v>
      </c>
      <c r="T72" s="1" t="s">
        <v>36</v>
      </c>
    </row>
    <row r="73" spans="1:20" x14ac:dyDescent="0.25">
      <c r="A73" s="1" t="s">
        <v>517</v>
      </c>
      <c r="B73" s="1">
        <v>6</v>
      </c>
      <c r="C73" s="1" t="s">
        <v>415</v>
      </c>
      <c r="D73" s="1" t="s">
        <v>416</v>
      </c>
      <c r="E73" s="1" t="s">
        <v>26</v>
      </c>
      <c r="F73" s="2">
        <v>46001</v>
      </c>
      <c r="G73" s="1">
        <v>2025</v>
      </c>
      <c r="H73" s="1" t="s">
        <v>16</v>
      </c>
      <c r="I73" s="1" t="s">
        <v>127</v>
      </c>
      <c r="J73" s="1">
        <f t="shared" si="4"/>
        <v>0</v>
      </c>
      <c r="K73" s="7">
        <v>20000</v>
      </c>
      <c r="L73" s="7">
        <v>0</v>
      </c>
      <c r="M73" s="7">
        <f t="shared" si="3"/>
        <v>20000</v>
      </c>
      <c r="N73" s="9">
        <v>12</v>
      </c>
      <c r="O73" s="9">
        <v>2025</v>
      </c>
      <c r="P73" s="1">
        <v>1</v>
      </c>
      <c r="Q73" s="1" t="s">
        <v>80</v>
      </c>
      <c r="R73" s="1">
        <v>6000</v>
      </c>
      <c r="S73" s="1">
        <v>8600</v>
      </c>
      <c r="T73" s="1" t="s">
        <v>36</v>
      </c>
    </row>
    <row r="74" spans="1:20" x14ac:dyDescent="0.25">
      <c r="A74" s="1" t="s">
        <v>516</v>
      </c>
      <c r="B74" s="1">
        <v>7</v>
      </c>
      <c r="C74" s="1" t="s">
        <v>514</v>
      </c>
      <c r="D74" s="1" t="s">
        <v>515</v>
      </c>
      <c r="E74" s="1" t="s">
        <v>26</v>
      </c>
      <c r="F74" s="2">
        <v>46001</v>
      </c>
      <c r="G74" s="1">
        <v>2025</v>
      </c>
      <c r="H74" s="1" t="s">
        <v>16</v>
      </c>
      <c r="I74" s="1" t="s">
        <v>127</v>
      </c>
      <c r="J74" s="1">
        <f t="shared" si="4"/>
        <v>0</v>
      </c>
      <c r="K74" s="7">
        <v>50000</v>
      </c>
      <c r="L74" s="7">
        <v>0</v>
      </c>
      <c r="M74" s="7">
        <f t="shared" si="3"/>
        <v>50000</v>
      </c>
      <c r="N74" s="9">
        <v>12</v>
      </c>
      <c r="O74" s="9">
        <v>2025</v>
      </c>
      <c r="P74" s="1">
        <v>1</v>
      </c>
      <c r="Q74" s="1" t="s">
        <v>80</v>
      </c>
      <c r="R74" s="1">
        <v>5976</v>
      </c>
      <c r="S74" s="1">
        <v>9030</v>
      </c>
      <c r="T74" s="1" t="s">
        <v>36</v>
      </c>
    </row>
    <row r="75" spans="1:20" x14ac:dyDescent="0.25">
      <c r="A75" s="1" t="s">
        <v>518</v>
      </c>
      <c r="B75" s="1">
        <v>2</v>
      </c>
      <c r="C75" s="1" t="s">
        <v>414</v>
      </c>
      <c r="D75" s="1" t="s">
        <v>410</v>
      </c>
      <c r="E75" s="1" t="s">
        <v>26</v>
      </c>
      <c r="F75" s="2">
        <v>46001</v>
      </c>
      <c r="G75" s="1">
        <v>2025</v>
      </c>
      <c r="H75" s="1" t="s">
        <v>16</v>
      </c>
      <c r="I75" s="1" t="s">
        <v>127</v>
      </c>
      <c r="J75" s="1">
        <f t="shared" si="4"/>
        <v>0</v>
      </c>
      <c r="K75" s="7">
        <v>50000</v>
      </c>
      <c r="L75" s="7">
        <v>0</v>
      </c>
      <c r="M75" s="7">
        <f t="shared" si="3"/>
        <v>50000</v>
      </c>
      <c r="N75" s="9">
        <v>12</v>
      </c>
      <c r="O75" s="9">
        <v>2025</v>
      </c>
      <c r="P75" s="1">
        <v>1</v>
      </c>
      <c r="Q75" s="1" t="s">
        <v>80</v>
      </c>
      <c r="R75" s="1">
        <v>6341</v>
      </c>
      <c r="S75" s="1">
        <v>8600</v>
      </c>
      <c r="T75" s="1" t="s">
        <v>36</v>
      </c>
    </row>
    <row r="76" spans="1:20" x14ac:dyDescent="0.25">
      <c r="A76" s="1" t="s">
        <v>513</v>
      </c>
      <c r="B76" s="1">
        <v>3</v>
      </c>
      <c r="C76" s="1" t="s">
        <v>472</v>
      </c>
      <c r="D76" s="1" t="s">
        <v>410</v>
      </c>
      <c r="E76" s="1" t="s">
        <v>26</v>
      </c>
      <c r="F76" s="2">
        <v>46001</v>
      </c>
      <c r="G76" s="1">
        <v>2025</v>
      </c>
      <c r="H76" s="1" t="s">
        <v>16</v>
      </c>
      <c r="I76" s="1" t="s">
        <v>127</v>
      </c>
      <c r="J76" s="1">
        <f t="shared" si="4"/>
        <v>0</v>
      </c>
      <c r="K76" s="7">
        <v>100000</v>
      </c>
      <c r="L76" s="7">
        <v>0</v>
      </c>
      <c r="M76" s="7">
        <f t="shared" si="3"/>
        <v>100000</v>
      </c>
      <c r="N76" s="9">
        <v>12</v>
      </c>
      <c r="O76" s="9">
        <v>2025</v>
      </c>
      <c r="P76" s="1">
        <v>1</v>
      </c>
      <c r="Q76" s="1" t="s">
        <v>90</v>
      </c>
      <c r="R76" s="1">
        <v>7077</v>
      </c>
      <c r="S76" s="1">
        <v>2014</v>
      </c>
      <c r="T76" s="1" t="s">
        <v>36</v>
      </c>
    </row>
    <row r="77" spans="1:20" x14ac:dyDescent="0.25">
      <c r="A77" s="1" t="s">
        <v>512</v>
      </c>
      <c r="B77" s="1">
        <v>9</v>
      </c>
      <c r="C77" s="1" t="s">
        <v>402</v>
      </c>
      <c r="D77" s="1" t="s">
        <v>346</v>
      </c>
      <c r="E77" s="1" t="s">
        <v>26</v>
      </c>
      <c r="F77" s="2">
        <v>46000</v>
      </c>
      <c r="G77" s="1">
        <v>2025</v>
      </c>
      <c r="H77" s="1" t="s">
        <v>16</v>
      </c>
      <c r="I77" s="1" t="s">
        <v>127</v>
      </c>
      <c r="J77" s="1">
        <f t="shared" si="4"/>
        <v>0</v>
      </c>
      <c r="K77" s="7">
        <v>100000</v>
      </c>
      <c r="L77" s="7">
        <v>0</v>
      </c>
      <c r="M77" s="7">
        <f t="shared" si="3"/>
        <v>100000</v>
      </c>
      <c r="N77" s="9">
        <v>12</v>
      </c>
      <c r="O77" s="9">
        <v>2025</v>
      </c>
      <c r="P77" s="1">
        <v>1</v>
      </c>
      <c r="Q77" s="1" t="s">
        <v>84</v>
      </c>
      <c r="T77" s="1" t="s">
        <v>36</v>
      </c>
    </row>
    <row r="78" spans="1:20" x14ac:dyDescent="0.25">
      <c r="A78" s="1" t="s">
        <v>511</v>
      </c>
      <c r="B78" s="1">
        <v>8</v>
      </c>
      <c r="C78" s="1" t="s">
        <v>409</v>
      </c>
      <c r="D78" s="1" t="s">
        <v>410</v>
      </c>
      <c r="E78" s="1" t="s">
        <v>26</v>
      </c>
      <c r="F78" s="2">
        <v>45999</v>
      </c>
      <c r="G78" s="1">
        <v>2025</v>
      </c>
      <c r="H78" s="1" t="s">
        <v>16</v>
      </c>
      <c r="I78" s="1" t="s">
        <v>127</v>
      </c>
      <c r="J78" s="1">
        <f t="shared" si="4"/>
        <v>0</v>
      </c>
      <c r="K78" s="7">
        <v>50000</v>
      </c>
      <c r="L78" s="7">
        <v>0</v>
      </c>
      <c r="M78" s="7">
        <f t="shared" si="3"/>
        <v>50000</v>
      </c>
      <c r="N78" s="9">
        <v>12</v>
      </c>
      <c r="O78" s="9">
        <v>2025</v>
      </c>
      <c r="P78" s="1">
        <v>1</v>
      </c>
      <c r="Q78" s="1" t="s">
        <v>39</v>
      </c>
      <c r="R78" s="1">
        <v>8608</v>
      </c>
      <c r="T78" s="1" t="s">
        <v>36</v>
      </c>
    </row>
    <row r="79" spans="1:20" x14ac:dyDescent="0.25">
      <c r="A79" s="1" t="s">
        <v>497</v>
      </c>
      <c r="B79" s="1">
        <v>18</v>
      </c>
      <c r="C79" s="1" t="s">
        <v>406</v>
      </c>
      <c r="D79" s="1" t="s">
        <v>407</v>
      </c>
      <c r="E79" s="1" t="s">
        <v>26</v>
      </c>
      <c r="F79" s="2">
        <v>45998</v>
      </c>
      <c r="G79" s="1">
        <v>2026</v>
      </c>
      <c r="H79" s="1" t="s">
        <v>2</v>
      </c>
      <c r="I79" s="1" t="s">
        <v>127</v>
      </c>
      <c r="J79" s="1">
        <v>0</v>
      </c>
      <c r="K79" s="7">
        <v>50000</v>
      </c>
      <c r="L79" s="7">
        <v>0</v>
      </c>
      <c r="M79" s="7">
        <f t="shared" si="3"/>
        <v>50000</v>
      </c>
      <c r="N79" s="9">
        <v>1</v>
      </c>
      <c r="O79" s="9">
        <v>2026</v>
      </c>
      <c r="P79" s="1">
        <v>1</v>
      </c>
      <c r="Q79" s="1" t="s">
        <v>33</v>
      </c>
      <c r="R79" s="1" t="s">
        <v>509</v>
      </c>
      <c r="T79" s="1" t="s">
        <v>36</v>
      </c>
    </row>
    <row r="80" spans="1:20" x14ac:dyDescent="0.25">
      <c r="A80" s="1" t="s">
        <v>498</v>
      </c>
      <c r="B80" s="1">
        <v>18</v>
      </c>
      <c r="C80" s="1" t="s">
        <v>406</v>
      </c>
      <c r="D80" s="1" t="s">
        <v>407</v>
      </c>
      <c r="E80" s="1" t="s">
        <v>26</v>
      </c>
      <c r="F80" s="2">
        <v>45998</v>
      </c>
      <c r="G80" s="1">
        <v>2026</v>
      </c>
      <c r="H80" s="1" t="s">
        <v>3</v>
      </c>
      <c r="I80" s="1" t="s">
        <v>127</v>
      </c>
      <c r="J80" s="1">
        <v>0</v>
      </c>
      <c r="K80" s="7">
        <v>50000</v>
      </c>
      <c r="L80" s="7">
        <v>0</v>
      </c>
      <c r="M80" s="7">
        <f t="shared" si="3"/>
        <v>50000</v>
      </c>
      <c r="N80" s="9">
        <v>2</v>
      </c>
      <c r="O80" s="9">
        <v>2026</v>
      </c>
      <c r="P80" s="1">
        <v>1</v>
      </c>
      <c r="Q80" s="1" t="s">
        <v>33</v>
      </c>
      <c r="R80" s="1" t="s">
        <v>509</v>
      </c>
      <c r="T80" s="1" t="s">
        <v>36</v>
      </c>
    </row>
    <row r="81" spans="1:21" x14ac:dyDescent="0.25">
      <c r="A81" s="1" t="s">
        <v>499</v>
      </c>
      <c r="B81" s="1">
        <v>18</v>
      </c>
      <c r="C81" s="1" t="s">
        <v>406</v>
      </c>
      <c r="D81" s="1" t="s">
        <v>407</v>
      </c>
      <c r="E81" s="1" t="s">
        <v>26</v>
      </c>
      <c r="F81" s="2">
        <v>45998</v>
      </c>
      <c r="G81" s="1">
        <v>2026</v>
      </c>
      <c r="H81" s="1" t="s">
        <v>4</v>
      </c>
      <c r="I81" s="1" t="s">
        <v>127</v>
      </c>
      <c r="J81" s="1">
        <v>0</v>
      </c>
      <c r="K81" s="7">
        <v>50000</v>
      </c>
      <c r="L81" s="7">
        <v>0</v>
      </c>
      <c r="M81" s="7">
        <f t="shared" si="3"/>
        <v>50000</v>
      </c>
      <c r="N81" s="9">
        <v>3</v>
      </c>
      <c r="O81" s="9">
        <v>2026</v>
      </c>
      <c r="P81" s="1">
        <v>1</v>
      </c>
      <c r="Q81" s="1" t="s">
        <v>33</v>
      </c>
      <c r="R81" s="1" t="s">
        <v>509</v>
      </c>
      <c r="T81" s="1" t="s">
        <v>36</v>
      </c>
    </row>
    <row r="82" spans="1:21" x14ac:dyDescent="0.25">
      <c r="A82" s="1" t="s">
        <v>500</v>
      </c>
      <c r="B82" s="1">
        <v>18</v>
      </c>
      <c r="C82" s="1" t="s">
        <v>406</v>
      </c>
      <c r="D82" s="1" t="s">
        <v>407</v>
      </c>
      <c r="E82" s="1" t="s">
        <v>26</v>
      </c>
      <c r="F82" s="2">
        <v>45998</v>
      </c>
      <c r="G82" s="1">
        <v>2026</v>
      </c>
      <c r="H82" s="1" t="s">
        <v>5</v>
      </c>
      <c r="I82" s="1" t="s">
        <v>127</v>
      </c>
      <c r="J82" s="1">
        <v>0</v>
      </c>
      <c r="K82" s="7">
        <v>50000</v>
      </c>
      <c r="L82" s="7">
        <v>0</v>
      </c>
      <c r="M82" s="7">
        <f t="shared" si="3"/>
        <v>50000</v>
      </c>
      <c r="N82" s="9">
        <v>4</v>
      </c>
      <c r="O82" s="9">
        <v>2026</v>
      </c>
      <c r="P82" s="1">
        <v>1</v>
      </c>
      <c r="Q82" s="1" t="s">
        <v>33</v>
      </c>
      <c r="R82" s="1" t="s">
        <v>509</v>
      </c>
      <c r="T82" s="1" t="s">
        <v>36</v>
      </c>
    </row>
    <row r="83" spans="1:21" x14ac:dyDescent="0.25">
      <c r="A83" s="1" t="s">
        <v>501</v>
      </c>
      <c r="B83" s="1">
        <v>18</v>
      </c>
      <c r="C83" s="1" t="s">
        <v>406</v>
      </c>
      <c r="D83" s="1" t="s">
        <v>407</v>
      </c>
      <c r="E83" s="1" t="s">
        <v>26</v>
      </c>
      <c r="F83" s="2">
        <v>45998</v>
      </c>
      <c r="G83" s="1">
        <v>2026</v>
      </c>
      <c r="H83" s="1" t="s">
        <v>6</v>
      </c>
      <c r="I83" s="1" t="s">
        <v>127</v>
      </c>
      <c r="J83" s="1">
        <v>0</v>
      </c>
      <c r="K83" s="7">
        <v>50000</v>
      </c>
      <c r="L83" s="7">
        <v>0</v>
      </c>
      <c r="M83" s="7">
        <f t="shared" si="3"/>
        <v>50000</v>
      </c>
      <c r="N83" s="9">
        <v>5</v>
      </c>
      <c r="O83" s="9">
        <v>2026</v>
      </c>
      <c r="P83" s="1">
        <v>1</v>
      </c>
      <c r="Q83" s="1" t="s">
        <v>33</v>
      </c>
      <c r="R83" s="1" t="s">
        <v>509</v>
      </c>
      <c r="T83" s="1" t="s">
        <v>36</v>
      </c>
    </row>
    <row r="84" spans="1:21" x14ac:dyDescent="0.25">
      <c r="A84" s="1" t="s">
        <v>502</v>
      </c>
      <c r="B84" s="1">
        <v>18</v>
      </c>
      <c r="C84" s="1" t="s">
        <v>406</v>
      </c>
      <c r="D84" s="1" t="s">
        <v>407</v>
      </c>
      <c r="E84" s="1" t="s">
        <v>26</v>
      </c>
      <c r="F84" s="2">
        <v>45998</v>
      </c>
      <c r="G84" s="1">
        <v>2026</v>
      </c>
      <c r="H84" s="1" t="s">
        <v>7</v>
      </c>
      <c r="I84" s="1" t="s">
        <v>127</v>
      </c>
      <c r="J84" s="1">
        <v>0</v>
      </c>
      <c r="K84" s="7">
        <v>50000</v>
      </c>
      <c r="L84" s="7">
        <v>0</v>
      </c>
      <c r="M84" s="7">
        <f t="shared" si="3"/>
        <v>50000</v>
      </c>
      <c r="N84" s="9">
        <v>6</v>
      </c>
      <c r="O84" s="9">
        <v>2026</v>
      </c>
      <c r="P84" s="1">
        <v>1</v>
      </c>
      <c r="Q84" s="1" t="s">
        <v>33</v>
      </c>
      <c r="R84" s="1" t="s">
        <v>509</v>
      </c>
      <c r="T84" s="1" t="s">
        <v>36</v>
      </c>
    </row>
    <row r="85" spans="1:21" x14ac:dyDescent="0.25">
      <c r="A85" s="1" t="s">
        <v>503</v>
      </c>
      <c r="B85" s="1">
        <v>18</v>
      </c>
      <c r="C85" s="1" t="s">
        <v>406</v>
      </c>
      <c r="D85" s="1" t="s">
        <v>407</v>
      </c>
      <c r="E85" s="1" t="s">
        <v>26</v>
      </c>
      <c r="F85" s="2">
        <v>45998</v>
      </c>
      <c r="G85" s="1">
        <v>2026</v>
      </c>
      <c r="H85" s="1" t="s">
        <v>8</v>
      </c>
      <c r="I85" s="1" t="s">
        <v>127</v>
      </c>
      <c r="J85" s="1">
        <v>0</v>
      </c>
      <c r="K85" s="7">
        <v>50000</v>
      </c>
      <c r="L85" s="7">
        <v>0</v>
      </c>
      <c r="M85" s="7">
        <f t="shared" si="3"/>
        <v>50000</v>
      </c>
      <c r="N85" s="9">
        <v>7</v>
      </c>
      <c r="O85" s="9">
        <v>2026</v>
      </c>
      <c r="P85" s="1">
        <v>1</v>
      </c>
      <c r="Q85" s="1" t="s">
        <v>33</v>
      </c>
      <c r="R85" s="1" t="s">
        <v>509</v>
      </c>
      <c r="T85" s="1" t="s">
        <v>36</v>
      </c>
    </row>
    <row r="86" spans="1:21" x14ac:dyDescent="0.25">
      <c r="A86" s="1" t="s">
        <v>504</v>
      </c>
      <c r="B86" s="1">
        <v>18</v>
      </c>
      <c r="C86" s="1" t="s">
        <v>406</v>
      </c>
      <c r="D86" s="1" t="s">
        <v>407</v>
      </c>
      <c r="E86" s="1" t="s">
        <v>26</v>
      </c>
      <c r="F86" s="2">
        <v>45998</v>
      </c>
      <c r="G86" s="1">
        <v>2026</v>
      </c>
      <c r="H86" s="1" t="s">
        <v>9</v>
      </c>
      <c r="I86" s="1" t="s">
        <v>127</v>
      </c>
      <c r="J86" s="1">
        <v>0</v>
      </c>
      <c r="K86" s="7">
        <v>50000</v>
      </c>
      <c r="L86" s="7">
        <v>0</v>
      </c>
      <c r="M86" s="7">
        <f t="shared" si="3"/>
        <v>50000</v>
      </c>
      <c r="N86" s="9">
        <v>8</v>
      </c>
      <c r="O86" s="9">
        <v>2026</v>
      </c>
      <c r="P86" s="1">
        <v>1</v>
      </c>
      <c r="Q86" s="1" t="s">
        <v>33</v>
      </c>
      <c r="R86" s="1" t="s">
        <v>509</v>
      </c>
      <c r="T86" s="1" t="s">
        <v>36</v>
      </c>
    </row>
    <row r="87" spans="1:21" x14ac:dyDescent="0.25">
      <c r="A87" s="1" t="s">
        <v>505</v>
      </c>
      <c r="B87" s="1">
        <v>18</v>
      </c>
      <c r="C87" s="1" t="s">
        <v>406</v>
      </c>
      <c r="D87" s="1" t="s">
        <v>407</v>
      </c>
      <c r="E87" s="1" t="s">
        <v>26</v>
      </c>
      <c r="F87" s="2">
        <v>45998</v>
      </c>
      <c r="G87" s="1">
        <v>2026</v>
      </c>
      <c r="H87" s="1" t="s">
        <v>10</v>
      </c>
      <c r="I87" s="1" t="s">
        <v>127</v>
      </c>
      <c r="J87" s="1">
        <v>0</v>
      </c>
      <c r="K87" s="7">
        <v>50000</v>
      </c>
      <c r="L87" s="7">
        <v>0</v>
      </c>
      <c r="M87" s="7">
        <f t="shared" si="3"/>
        <v>50000</v>
      </c>
      <c r="N87" s="9">
        <v>9</v>
      </c>
      <c r="O87" s="9">
        <v>2026</v>
      </c>
      <c r="P87" s="1">
        <v>1</v>
      </c>
      <c r="Q87" s="1" t="s">
        <v>33</v>
      </c>
      <c r="R87" s="1" t="s">
        <v>509</v>
      </c>
      <c r="T87" s="1" t="s">
        <v>36</v>
      </c>
    </row>
    <row r="88" spans="1:21" x14ac:dyDescent="0.25">
      <c r="A88" s="1" t="s">
        <v>506</v>
      </c>
      <c r="B88" s="1">
        <v>18</v>
      </c>
      <c r="C88" s="1" t="s">
        <v>406</v>
      </c>
      <c r="D88" s="1" t="s">
        <v>407</v>
      </c>
      <c r="E88" s="1" t="s">
        <v>26</v>
      </c>
      <c r="F88" s="2">
        <v>45998</v>
      </c>
      <c r="G88" s="1">
        <v>2026</v>
      </c>
      <c r="H88" s="1" t="s">
        <v>14</v>
      </c>
      <c r="I88" s="1" t="s">
        <v>127</v>
      </c>
      <c r="J88" s="1">
        <v>0</v>
      </c>
      <c r="K88" s="7">
        <v>50000</v>
      </c>
      <c r="L88" s="7">
        <v>0</v>
      </c>
      <c r="M88" s="7">
        <f t="shared" si="3"/>
        <v>50000</v>
      </c>
      <c r="N88" s="9">
        <v>10</v>
      </c>
      <c r="O88" s="9">
        <v>2026</v>
      </c>
      <c r="P88" s="1">
        <v>1</v>
      </c>
      <c r="Q88" s="1" t="s">
        <v>33</v>
      </c>
      <c r="R88" s="1" t="s">
        <v>509</v>
      </c>
      <c r="T88" s="1" t="s">
        <v>36</v>
      </c>
    </row>
    <row r="89" spans="1:21" x14ac:dyDescent="0.25">
      <c r="A89" s="1" t="s">
        <v>507</v>
      </c>
      <c r="B89" s="1">
        <v>18</v>
      </c>
      <c r="C89" s="1" t="s">
        <v>406</v>
      </c>
      <c r="D89" s="1" t="s">
        <v>407</v>
      </c>
      <c r="E89" s="1" t="s">
        <v>26</v>
      </c>
      <c r="F89" s="2">
        <v>45998</v>
      </c>
      <c r="G89" s="1">
        <v>2026</v>
      </c>
      <c r="H89" s="1" t="s">
        <v>17</v>
      </c>
      <c r="I89" s="1" t="s">
        <v>127</v>
      </c>
      <c r="J89" s="1">
        <v>0</v>
      </c>
      <c r="K89" s="7">
        <v>50000</v>
      </c>
      <c r="L89" s="7">
        <v>0</v>
      </c>
      <c r="M89" s="7">
        <f t="shared" si="3"/>
        <v>50000</v>
      </c>
      <c r="N89" s="9">
        <v>11</v>
      </c>
      <c r="O89" s="9">
        <v>2026</v>
      </c>
      <c r="P89" s="1">
        <v>1</v>
      </c>
      <c r="Q89" s="1" t="s">
        <v>33</v>
      </c>
      <c r="R89" s="1" t="s">
        <v>509</v>
      </c>
      <c r="T89" s="1" t="s">
        <v>36</v>
      </c>
    </row>
    <row r="90" spans="1:21" x14ac:dyDescent="0.25">
      <c r="A90" s="1" t="s">
        <v>508</v>
      </c>
      <c r="B90" s="1">
        <v>18</v>
      </c>
      <c r="C90" s="1" t="s">
        <v>406</v>
      </c>
      <c r="D90" s="1" t="s">
        <v>407</v>
      </c>
      <c r="E90" s="1" t="s">
        <v>26</v>
      </c>
      <c r="F90" s="2">
        <v>45998</v>
      </c>
      <c r="G90" s="1">
        <v>2026</v>
      </c>
      <c r="H90" s="1" t="s">
        <v>16</v>
      </c>
      <c r="I90" s="1" t="s">
        <v>127</v>
      </c>
      <c r="J90" s="1">
        <v>0</v>
      </c>
      <c r="K90" s="7">
        <v>50000</v>
      </c>
      <c r="L90" s="7">
        <v>0</v>
      </c>
      <c r="M90" s="7">
        <f t="shared" si="3"/>
        <v>50000</v>
      </c>
      <c r="N90" s="9">
        <v>12</v>
      </c>
      <c r="O90" s="9">
        <v>2026</v>
      </c>
      <c r="P90" s="1">
        <v>1</v>
      </c>
      <c r="Q90" s="1" t="s">
        <v>33</v>
      </c>
      <c r="R90" s="1" t="s">
        <v>509</v>
      </c>
      <c r="T90" s="1" t="s">
        <v>36</v>
      </c>
    </row>
    <row r="91" spans="1:21" x14ac:dyDescent="0.25">
      <c r="A91" s="1" t="s">
        <v>510</v>
      </c>
      <c r="B91" s="1">
        <v>18</v>
      </c>
      <c r="C91" s="1" t="s">
        <v>406</v>
      </c>
      <c r="D91" s="1" t="s">
        <v>407</v>
      </c>
      <c r="E91" s="1" t="s">
        <v>26</v>
      </c>
      <c r="F91" s="2">
        <v>45998</v>
      </c>
      <c r="G91" s="1">
        <v>2026</v>
      </c>
      <c r="H91" s="1" t="s">
        <v>2</v>
      </c>
      <c r="I91" s="1" t="s">
        <v>127</v>
      </c>
      <c r="J91" s="1">
        <v>0</v>
      </c>
      <c r="K91" s="7">
        <v>300000</v>
      </c>
      <c r="L91" s="7">
        <v>0</v>
      </c>
      <c r="M91" s="7">
        <f t="shared" si="3"/>
        <v>300000</v>
      </c>
      <c r="N91" s="9">
        <v>1</v>
      </c>
      <c r="O91" s="9">
        <v>2026</v>
      </c>
      <c r="P91" s="1">
        <v>1</v>
      </c>
      <c r="Q91" s="1" t="s">
        <v>33</v>
      </c>
      <c r="R91" s="1" t="s">
        <v>509</v>
      </c>
      <c r="T91" s="1" t="s">
        <v>36</v>
      </c>
      <c r="U91" s="1" t="s">
        <v>162</v>
      </c>
    </row>
    <row r="92" spans="1:21" x14ac:dyDescent="0.25">
      <c r="A92" s="1" t="s">
        <v>496</v>
      </c>
      <c r="B92" s="1">
        <v>5</v>
      </c>
      <c r="C92" s="1" t="s">
        <v>387</v>
      </c>
      <c r="D92" s="1" t="s">
        <v>339</v>
      </c>
      <c r="E92" s="1" t="s">
        <v>26</v>
      </c>
      <c r="F92" s="2">
        <v>45998</v>
      </c>
      <c r="G92" s="1">
        <v>2026</v>
      </c>
      <c r="H92" s="1" t="s">
        <v>2</v>
      </c>
      <c r="I92" s="1" t="s">
        <v>127</v>
      </c>
      <c r="J92" s="1">
        <v>0</v>
      </c>
      <c r="K92" s="7">
        <v>50000</v>
      </c>
      <c r="L92" s="7">
        <v>0</v>
      </c>
      <c r="M92" s="7">
        <f t="shared" si="3"/>
        <v>50000</v>
      </c>
      <c r="N92" s="9">
        <v>1</v>
      </c>
      <c r="O92" s="9">
        <v>2026</v>
      </c>
      <c r="P92" s="1">
        <v>1</v>
      </c>
      <c r="Q92" s="1" t="s">
        <v>84</v>
      </c>
      <c r="R92" s="1">
        <v>83414</v>
      </c>
      <c r="T92" s="1" t="s">
        <v>36</v>
      </c>
    </row>
    <row r="93" spans="1:21" x14ac:dyDescent="0.25">
      <c r="A93" s="1" t="s">
        <v>493</v>
      </c>
      <c r="B93" s="1">
        <v>13</v>
      </c>
      <c r="C93" s="1" t="s">
        <v>398</v>
      </c>
      <c r="D93" s="1" t="s">
        <v>399</v>
      </c>
      <c r="E93" s="1" t="s">
        <v>26</v>
      </c>
      <c r="F93" s="2">
        <v>45996</v>
      </c>
      <c r="G93" s="1">
        <v>2025</v>
      </c>
      <c r="H93" s="1" t="s">
        <v>16</v>
      </c>
      <c r="I93" s="1" t="s">
        <v>127</v>
      </c>
      <c r="J93" s="1">
        <f t="shared" ref="J93:J116" si="5">0*0</f>
        <v>0</v>
      </c>
      <c r="K93" s="7">
        <v>50000</v>
      </c>
      <c r="L93" s="7">
        <v>0</v>
      </c>
      <c r="M93" s="7">
        <f t="shared" si="3"/>
        <v>50000</v>
      </c>
      <c r="N93" s="9">
        <v>12</v>
      </c>
      <c r="O93" s="9">
        <v>2025</v>
      </c>
      <c r="P93" s="1">
        <v>1</v>
      </c>
      <c r="Q93" s="1" t="s">
        <v>39</v>
      </c>
      <c r="R93" s="1">
        <v>4396</v>
      </c>
      <c r="T93" s="1" t="s">
        <v>36</v>
      </c>
    </row>
    <row r="94" spans="1:21" x14ac:dyDescent="0.25">
      <c r="A94" s="1" t="s">
        <v>494</v>
      </c>
      <c r="B94" s="1">
        <v>1</v>
      </c>
      <c r="C94" s="1" t="s">
        <v>527</v>
      </c>
      <c r="D94" s="1" t="s">
        <v>346</v>
      </c>
      <c r="E94" s="1" t="s">
        <v>26</v>
      </c>
      <c r="F94" s="2">
        <v>45996</v>
      </c>
      <c r="G94" s="1">
        <v>2025</v>
      </c>
      <c r="H94" s="1" t="s">
        <v>16</v>
      </c>
      <c r="I94" s="1" t="s">
        <v>127</v>
      </c>
      <c r="J94" s="1">
        <f t="shared" si="5"/>
        <v>0</v>
      </c>
      <c r="K94" s="7">
        <v>100000</v>
      </c>
      <c r="L94" s="7">
        <v>0</v>
      </c>
      <c r="M94" s="7">
        <f t="shared" si="3"/>
        <v>100000</v>
      </c>
      <c r="N94" s="9">
        <v>12</v>
      </c>
      <c r="O94" s="9">
        <v>2025</v>
      </c>
      <c r="P94" s="1">
        <v>1</v>
      </c>
      <c r="Q94" s="1" t="s">
        <v>39</v>
      </c>
      <c r="R94" s="1" t="s">
        <v>495</v>
      </c>
      <c r="T94" s="1" t="s">
        <v>36</v>
      </c>
    </row>
    <row r="95" spans="1:21" x14ac:dyDescent="0.25">
      <c r="A95" s="1" t="s">
        <v>490</v>
      </c>
      <c r="B95" s="1">
        <v>15</v>
      </c>
      <c r="C95" s="1" t="s">
        <v>394</v>
      </c>
      <c r="D95" s="1" t="s">
        <v>395</v>
      </c>
      <c r="E95" s="1" t="s">
        <v>473</v>
      </c>
      <c r="F95" s="2">
        <v>45993</v>
      </c>
      <c r="G95" s="1">
        <v>2025</v>
      </c>
      <c r="H95" s="1" t="s">
        <v>16</v>
      </c>
      <c r="I95" s="1" t="s">
        <v>127</v>
      </c>
      <c r="J95" s="1">
        <f t="shared" si="5"/>
        <v>0</v>
      </c>
      <c r="K95" s="7">
        <v>-881910</v>
      </c>
      <c r="L95" s="7">
        <f t="shared" ref="L95:L116" si="6">J95*1000</f>
        <v>0</v>
      </c>
      <c r="M95" s="7">
        <f t="shared" si="3"/>
        <v>-881910</v>
      </c>
      <c r="N95" s="9">
        <v>12</v>
      </c>
      <c r="O95" s="9">
        <v>2025</v>
      </c>
      <c r="P95" s="1">
        <v>1</v>
      </c>
      <c r="Q95" s="1" t="s">
        <v>33</v>
      </c>
      <c r="R95" s="1">
        <v>4495</v>
      </c>
      <c r="T95" s="1" t="s">
        <v>36</v>
      </c>
    </row>
    <row r="96" spans="1:21" x14ac:dyDescent="0.25">
      <c r="A96" s="1" t="s">
        <v>491</v>
      </c>
      <c r="B96" s="1">
        <v>5</v>
      </c>
      <c r="C96" s="1" t="s">
        <v>387</v>
      </c>
      <c r="D96" s="1" t="s">
        <v>339</v>
      </c>
      <c r="E96" s="1" t="s">
        <v>473</v>
      </c>
      <c r="F96" s="2">
        <v>45993</v>
      </c>
      <c r="G96" s="1">
        <v>2025</v>
      </c>
      <c r="H96" s="1" t="s">
        <v>16</v>
      </c>
      <c r="I96" s="1" t="s">
        <v>127</v>
      </c>
      <c r="J96" s="1">
        <f t="shared" si="5"/>
        <v>0</v>
      </c>
      <c r="K96" s="7">
        <v>-354910</v>
      </c>
      <c r="L96" s="7">
        <f t="shared" si="6"/>
        <v>0</v>
      </c>
      <c r="M96" s="7">
        <f t="shared" si="3"/>
        <v>-354910</v>
      </c>
      <c r="N96" s="9">
        <v>12</v>
      </c>
      <c r="O96" s="9">
        <v>2025</v>
      </c>
      <c r="P96" s="1">
        <v>1</v>
      </c>
      <c r="Q96" s="1" t="s">
        <v>84</v>
      </c>
      <c r="R96" s="1" t="s">
        <v>492</v>
      </c>
      <c r="T96" s="1" t="s">
        <v>36</v>
      </c>
    </row>
    <row r="97" spans="1:21" x14ac:dyDescent="0.25">
      <c r="A97" s="1" t="s">
        <v>469</v>
      </c>
      <c r="B97" s="1">
        <v>19</v>
      </c>
      <c r="C97" s="1" t="s">
        <v>338</v>
      </c>
      <c r="D97" s="1" t="s">
        <v>339</v>
      </c>
      <c r="E97" s="1" t="s">
        <v>474</v>
      </c>
      <c r="F97" s="2">
        <v>45992</v>
      </c>
      <c r="G97" s="1">
        <v>2025</v>
      </c>
      <c r="H97" s="1" t="s">
        <v>16</v>
      </c>
      <c r="I97" s="1" t="s">
        <v>127</v>
      </c>
      <c r="J97" s="1">
        <f t="shared" si="5"/>
        <v>0</v>
      </c>
      <c r="K97" s="7">
        <v>302196.17207166983</v>
      </c>
      <c r="L97" s="7">
        <f t="shared" si="6"/>
        <v>0</v>
      </c>
      <c r="M97" s="7">
        <f t="shared" si="3"/>
        <v>302196.17207166983</v>
      </c>
      <c r="N97" s="9">
        <v>12</v>
      </c>
      <c r="O97" s="9">
        <v>2025</v>
      </c>
      <c r="P97" s="1">
        <v>1</v>
      </c>
      <c r="T97" s="1" t="s">
        <v>28</v>
      </c>
      <c r="U97" s="55">
        <v>0.12344352655567357</v>
      </c>
    </row>
    <row r="98" spans="1:21" x14ac:dyDescent="0.25">
      <c r="A98" s="1" t="s">
        <v>463</v>
      </c>
      <c r="B98" s="1">
        <v>13</v>
      </c>
      <c r="C98" s="1" t="s">
        <v>398</v>
      </c>
      <c r="D98" s="1" t="s">
        <v>399</v>
      </c>
      <c r="E98" s="1" t="s">
        <v>474</v>
      </c>
      <c r="F98" s="2">
        <v>45992</v>
      </c>
      <c r="G98" s="1">
        <v>2025</v>
      </c>
      <c r="H98" s="1" t="s">
        <v>16</v>
      </c>
      <c r="I98" s="1" t="s">
        <v>127</v>
      </c>
      <c r="J98" s="1">
        <f t="shared" si="5"/>
        <v>0</v>
      </c>
      <c r="K98" s="7">
        <v>66724.701274380612</v>
      </c>
      <c r="L98" s="7">
        <f t="shared" si="6"/>
        <v>0</v>
      </c>
      <c r="M98" s="7">
        <f t="shared" si="3"/>
        <v>66724.701274380612</v>
      </c>
      <c r="N98" s="9">
        <v>12</v>
      </c>
      <c r="O98" s="9">
        <v>2025</v>
      </c>
      <c r="P98" s="1">
        <v>1</v>
      </c>
      <c r="T98" s="1" t="s">
        <v>28</v>
      </c>
      <c r="U98" s="55">
        <v>2.7256243443513704E-2</v>
      </c>
    </row>
    <row r="99" spans="1:21" x14ac:dyDescent="0.25">
      <c r="A99" s="1" t="s">
        <v>462</v>
      </c>
      <c r="B99" s="1">
        <v>12</v>
      </c>
      <c r="C99" s="1" t="s">
        <v>521</v>
      </c>
      <c r="D99" s="1" t="s">
        <v>522</v>
      </c>
      <c r="E99" s="1" t="s">
        <v>474</v>
      </c>
      <c r="F99" s="2">
        <v>45992</v>
      </c>
      <c r="G99" s="1">
        <v>2025</v>
      </c>
      <c r="H99" s="1" t="s">
        <v>16</v>
      </c>
      <c r="I99" s="1" t="s">
        <v>127</v>
      </c>
      <c r="J99" s="1">
        <f t="shared" si="5"/>
        <v>0</v>
      </c>
      <c r="K99" s="7">
        <v>69527.138727904603</v>
      </c>
      <c r="L99" s="7">
        <f t="shared" si="6"/>
        <v>0</v>
      </c>
      <c r="M99" s="7">
        <f t="shared" si="3"/>
        <v>69527.138727904603</v>
      </c>
      <c r="N99" s="9">
        <v>12</v>
      </c>
      <c r="O99" s="9">
        <v>2025</v>
      </c>
      <c r="P99" s="1">
        <v>1</v>
      </c>
      <c r="T99" s="1" t="s">
        <v>28</v>
      </c>
      <c r="U99" s="55">
        <v>2.8401005668141282E-2</v>
      </c>
    </row>
    <row r="100" spans="1:21" x14ac:dyDescent="0.25">
      <c r="A100" s="1" t="s">
        <v>470</v>
      </c>
      <c r="B100" s="1">
        <v>20</v>
      </c>
      <c r="C100" s="1" t="s">
        <v>520</v>
      </c>
      <c r="D100" s="1" t="s">
        <v>410</v>
      </c>
      <c r="E100" s="1" t="s">
        <v>474</v>
      </c>
      <c r="F100" s="2">
        <v>45992</v>
      </c>
      <c r="G100" s="1">
        <v>2025</v>
      </c>
      <c r="H100" s="1" t="s">
        <v>16</v>
      </c>
      <c r="I100" s="1" t="s">
        <v>127</v>
      </c>
      <c r="J100" s="1">
        <f t="shared" si="5"/>
        <v>0</v>
      </c>
      <c r="K100" s="7">
        <v>69527.138727904603</v>
      </c>
      <c r="L100" s="7">
        <f t="shared" si="6"/>
        <v>0</v>
      </c>
      <c r="M100" s="7">
        <f t="shared" si="3"/>
        <v>69527.138727904603</v>
      </c>
      <c r="N100" s="9">
        <v>12</v>
      </c>
      <c r="O100" s="9">
        <v>2025</v>
      </c>
      <c r="P100" s="1">
        <v>1</v>
      </c>
      <c r="T100" s="1" t="s">
        <v>28</v>
      </c>
      <c r="U100" s="55">
        <v>2.8401005668141282E-2</v>
      </c>
    </row>
    <row r="101" spans="1:21" x14ac:dyDescent="0.25">
      <c r="A101" s="1" t="s">
        <v>456</v>
      </c>
      <c r="B101" s="1">
        <v>6</v>
      </c>
      <c r="C101" s="1" t="s">
        <v>415</v>
      </c>
      <c r="D101" s="1" t="s">
        <v>416</v>
      </c>
      <c r="E101" s="1" t="s">
        <v>474</v>
      </c>
      <c r="F101" s="2">
        <v>45992</v>
      </c>
      <c r="G101" s="1">
        <v>2025</v>
      </c>
      <c r="H101" s="1" t="s">
        <v>16</v>
      </c>
      <c r="I101" s="1" t="s">
        <v>127</v>
      </c>
      <c r="J101" s="1">
        <f t="shared" si="5"/>
        <v>0</v>
      </c>
      <c r="K101" s="7">
        <v>26689.880509752245</v>
      </c>
      <c r="L101" s="7">
        <f t="shared" si="6"/>
        <v>0</v>
      </c>
      <c r="M101" s="7">
        <f t="shared" ref="M101:M132" si="7">K101-L101</f>
        <v>26689.880509752245</v>
      </c>
      <c r="N101" s="9">
        <v>12</v>
      </c>
      <c r="O101" s="9">
        <v>2025</v>
      </c>
      <c r="P101" s="1">
        <v>1</v>
      </c>
      <c r="T101" s="1" t="s">
        <v>28</v>
      </c>
      <c r="U101" s="55">
        <v>1.0902497377405482E-2</v>
      </c>
    </row>
    <row r="102" spans="1:21" x14ac:dyDescent="0.25">
      <c r="A102" s="1" t="s">
        <v>461</v>
      </c>
      <c r="B102" s="1">
        <v>11</v>
      </c>
      <c r="C102" s="1" t="s">
        <v>417</v>
      </c>
      <c r="D102" s="1" t="s">
        <v>410</v>
      </c>
      <c r="E102" s="1" t="s">
        <v>474</v>
      </c>
      <c r="F102" s="2">
        <v>45992</v>
      </c>
      <c r="G102" s="1">
        <v>2025</v>
      </c>
      <c r="H102" s="1" t="s">
        <v>16</v>
      </c>
      <c r="I102" s="1" t="s">
        <v>127</v>
      </c>
      <c r="J102" s="1">
        <f t="shared" si="5"/>
        <v>0</v>
      </c>
      <c r="K102" s="7">
        <v>22953.297238386931</v>
      </c>
      <c r="L102" s="7">
        <f t="shared" si="6"/>
        <v>0</v>
      </c>
      <c r="M102" s="7">
        <f t="shared" si="7"/>
        <v>22953.297238386931</v>
      </c>
      <c r="N102" s="9">
        <v>12</v>
      </c>
      <c r="O102" s="9">
        <v>2025</v>
      </c>
      <c r="P102" s="1">
        <v>1</v>
      </c>
      <c r="T102" s="1" t="s">
        <v>28</v>
      </c>
      <c r="U102" s="55">
        <v>9.3761477445687153E-3</v>
      </c>
    </row>
    <row r="103" spans="1:21" x14ac:dyDescent="0.25">
      <c r="A103" s="1" t="s">
        <v>468</v>
      </c>
      <c r="B103" s="1">
        <v>18</v>
      </c>
      <c r="C103" s="1" t="s">
        <v>406</v>
      </c>
      <c r="D103" s="1" t="s">
        <v>407</v>
      </c>
      <c r="E103" s="1" t="s">
        <v>474</v>
      </c>
      <c r="F103" s="2">
        <v>45992</v>
      </c>
      <c r="G103" s="1">
        <v>2025</v>
      </c>
      <c r="H103" s="1" t="s">
        <v>16</v>
      </c>
      <c r="I103" s="1" t="s">
        <v>127</v>
      </c>
      <c r="J103" s="1">
        <f t="shared" si="5"/>
        <v>0</v>
      </c>
      <c r="K103" s="7">
        <v>293588.6856072747</v>
      </c>
      <c r="L103" s="7">
        <f t="shared" si="6"/>
        <v>0</v>
      </c>
      <c r="M103" s="7">
        <f t="shared" si="7"/>
        <v>293588.6856072747</v>
      </c>
      <c r="N103" s="9">
        <v>12</v>
      </c>
      <c r="O103" s="9">
        <v>2025</v>
      </c>
      <c r="P103" s="1">
        <v>1</v>
      </c>
      <c r="T103" s="1" t="s">
        <v>28</v>
      </c>
      <c r="U103" s="55">
        <v>0.11992747115146031</v>
      </c>
    </row>
    <row r="104" spans="1:21" x14ac:dyDescent="0.25">
      <c r="A104" s="1" t="s">
        <v>464</v>
      </c>
      <c r="B104" s="1">
        <v>14</v>
      </c>
      <c r="C104" s="1" t="s">
        <v>523</v>
      </c>
      <c r="D104" s="1" t="s">
        <v>339</v>
      </c>
      <c r="E104" s="1" t="s">
        <v>474</v>
      </c>
      <c r="F104" s="2">
        <v>45992</v>
      </c>
      <c r="G104" s="1">
        <v>2025</v>
      </c>
      <c r="H104" s="1" t="s">
        <v>16</v>
      </c>
      <c r="I104" s="1" t="s">
        <v>127</v>
      </c>
      <c r="J104" s="1">
        <f t="shared" si="5"/>
        <v>0</v>
      </c>
      <c r="K104" s="7">
        <v>27357.127522496055</v>
      </c>
      <c r="L104" s="7">
        <f t="shared" si="6"/>
        <v>0</v>
      </c>
      <c r="M104" s="7">
        <f t="shared" si="7"/>
        <v>27357.127522496055</v>
      </c>
      <c r="N104" s="9">
        <v>12</v>
      </c>
      <c r="O104" s="9">
        <v>2025</v>
      </c>
      <c r="P104" s="1">
        <v>1</v>
      </c>
      <c r="T104" s="1" t="s">
        <v>28</v>
      </c>
      <c r="U104" s="55">
        <v>1.117505981184062E-2</v>
      </c>
    </row>
    <row r="105" spans="1:21" x14ac:dyDescent="0.25">
      <c r="A105" s="1" t="s">
        <v>460</v>
      </c>
      <c r="B105" s="1">
        <v>10</v>
      </c>
      <c r="C105" s="1" t="s">
        <v>345</v>
      </c>
      <c r="D105" s="1" t="s">
        <v>346</v>
      </c>
      <c r="E105" s="1" t="s">
        <v>474</v>
      </c>
      <c r="F105" s="2">
        <v>45992</v>
      </c>
      <c r="G105" s="1">
        <v>2025</v>
      </c>
      <c r="H105" s="1" t="s">
        <v>16</v>
      </c>
      <c r="I105" s="1" t="s">
        <v>127</v>
      </c>
      <c r="J105" s="1">
        <f t="shared" si="5"/>
        <v>0</v>
      </c>
      <c r="K105" s="7">
        <v>66917.530022826322</v>
      </c>
      <c r="L105" s="7">
        <f t="shared" si="6"/>
        <v>0</v>
      </c>
      <c r="M105" s="7">
        <f t="shared" si="7"/>
        <v>66917.530022826322</v>
      </c>
      <c r="N105" s="9">
        <v>12</v>
      </c>
      <c r="O105" s="9">
        <v>2025</v>
      </c>
      <c r="P105" s="1">
        <v>1</v>
      </c>
      <c r="T105" s="1" t="s">
        <v>28</v>
      </c>
      <c r="U105" s="55">
        <v>2.7335011683912891E-2</v>
      </c>
    </row>
    <row r="106" spans="1:21" x14ac:dyDescent="0.25">
      <c r="A106" s="1" t="s">
        <v>465</v>
      </c>
      <c r="B106" s="1">
        <v>15</v>
      </c>
      <c r="C106" s="1" t="s">
        <v>394</v>
      </c>
      <c r="D106" s="1" t="s">
        <v>395</v>
      </c>
      <c r="E106" s="1" t="s">
        <v>474</v>
      </c>
      <c r="F106" s="2">
        <v>45992</v>
      </c>
      <c r="G106" s="1">
        <v>2025</v>
      </c>
      <c r="H106" s="1" t="s">
        <v>16</v>
      </c>
      <c r="I106" s="1" t="s">
        <v>127</v>
      </c>
      <c r="J106" s="1">
        <f t="shared" si="5"/>
        <v>0</v>
      </c>
      <c r="K106" s="7">
        <v>49910.0765532367</v>
      </c>
      <c r="L106" s="7">
        <f t="shared" si="6"/>
        <v>0</v>
      </c>
      <c r="M106" s="7">
        <f t="shared" si="7"/>
        <v>49910.0765532367</v>
      </c>
      <c r="N106" s="9">
        <v>12</v>
      </c>
      <c r="O106" s="9">
        <v>2025</v>
      </c>
      <c r="P106" s="1">
        <v>1</v>
      </c>
      <c r="T106" s="1" t="s">
        <v>28</v>
      </c>
      <c r="U106" s="55">
        <v>2.0387670095748253E-2</v>
      </c>
    </row>
    <row r="107" spans="1:21" x14ac:dyDescent="0.25">
      <c r="A107" s="1" t="s">
        <v>455</v>
      </c>
      <c r="B107" s="1">
        <v>5</v>
      </c>
      <c r="C107" s="1" t="s">
        <v>387</v>
      </c>
      <c r="D107" s="1" t="s">
        <v>339</v>
      </c>
      <c r="E107" s="1" t="s">
        <v>474</v>
      </c>
      <c r="F107" s="2">
        <v>45992</v>
      </c>
      <c r="G107" s="1">
        <v>2025</v>
      </c>
      <c r="H107" s="1" t="s">
        <v>16</v>
      </c>
      <c r="I107" s="1" t="s">
        <v>127</v>
      </c>
      <c r="J107" s="1">
        <f t="shared" si="5"/>
        <v>0</v>
      </c>
      <c r="K107" s="7">
        <v>95945.432788758335</v>
      </c>
      <c r="L107" s="7">
        <f t="shared" si="6"/>
        <v>0</v>
      </c>
      <c r="M107" s="7">
        <f t="shared" si="7"/>
        <v>95945.432788758335</v>
      </c>
      <c r="N107" s="9">
        <v>12</v>
      </c>
      <c r="O107" s="9">
        <v>2025</v>
      </c>
      <c r="P107" s="1">
        <v>1</v>
      </c>
      <c r="T107" s="1" t="s">
        <v>28</v>
      </c>
      <c r="U107" s="55">
        <v>3.9192563225273945E-2</v>
      </c>
    </row>
    <row r="108" spans="1:21" x14ac:dyDescent="0.25">
      <c r="A108" s="1" t="s">
        <v>454</v>
      </c>
      <c r="B108" s="1">
        <v>4</v>
      </c>
      <c r="C108" s="1" t="s">
        <v>525</v>
      </c>
      <c r="D108" s="1" t="s">
        <v>526</v>
      </c>
      <c r="E108" s="1" t="s">
        <v>474</v>
      </c>
      <c r="F108" s="2">
        <v>45992</v>
      </c>
      <c r="G108" s="1">
        <v>2025</v>
      </c>
      <c r="H108" s="1" t="s">
        <v>16</v>
      </c>
      <c r="I108" s="1" t="s">
        <v>127</v>
      </c>
      <c r="J108" s="1">
        <f t="shared" si="5"/>
        <v>0</v>
      </c>
      <c r="K108" s="7">
        <v>133315.95314621247</v>
      </c>
      <c r="L108" s="7">
        <f t="shared" si="6"/>
        <v>0</v>
      </c>
      <c r="M108" s="7">
        <f t="shared" si="7"/>
        <v>133315.95314621247</v>
      </c>
      <c r="N108" s="9">
        <v>12</v>
      </c>
      <c r="O108" s="9">
        <v>2025</v>
      </c>
      <c r="P108" s="1">
        <v>1</v>
      </c>
      <c r="T108" s="1" t="s">
        <v>28</v>
      </c>
      <c r="U108" s="55">
        <v>5.4457974400140385E-2</v>
      </c>
    </row>
    <row r="109" spans="1:21" x14ac:dyDescent="0.25">
      <c r="A109" s="1" t="s">
        <v>457</v>
      </c>
      <c r="B109" s="1">
        <v>7</v>
      </c>
      <c r="C109" s="1" t="s">
        <v>514</v>
      </c>
      <c r="D109" s="1" t="s">
        <v>515</v>
      </c>
      <c r="E109" s="1" t="s">
        <v>474</v>
      </c>
      <c r="F109" s="2">
        <v>45992</v>
      </c>
      <c r="G109" s="1">
        <v>2025</v>
      </c>
      <c r="H109" s="1" t="s">
        <v>16</v>
      </c>
      <c r="I109" s="1" t="s">
        <v>127</v>
      </c>
      <c r="J109" s="1">
        <f t="shared" si="5"/>
        <v>0</v>
      </c>
      <c r="K109" s="7">
        <v>66724.701274380612</v>
      </c>
      <c r="L109" s="7">
        <f t="shared" si="6"/>
        <v>0</v>
      </c>
      <c r="M109" s="7">
        <f t="shared" si="7"/>
        <v>66724.701274380612</v>
      </c>
      <c r="N109" s="9">
        <v>12</v>
      </c>
      <c r="O109" s="9">
        <v>2025</v>
      </c>
      <c r="P109" s="1">
        <v>1</v>
      </c>
      <c r="T109" s="1" t="s">
        <v>28</v>
      </c>
      <c r="U109" s="55">
        <v>2.7256243443513704E-2</v>
      </c>
    </row>
    <row r="110" spans="1:21" x14ac:dyDescent="0.25">
      <c r="A110" s="1" t="s">
        <v>452</v>
      </c>
      <c r="B110" s="1">
        <v>2</v>
      </c>
      <c r="C110" s="1" t="s">
        <v>414</v>
      </c>
      <c r="D110" s="1" t="s">
        <v>410</v>
      </c>
      <c r="E110" s="1" t="s">
        <v>474</v>
      </c>
      <c r="F110" s="2">
        <v>45992</v>
      </c>
      <c r="G110" s="1">
        <v>2025</v>
      </c>
      <c r="H110" s="1" t="s">
        <v>16</v>
      </c>
      <c r="I110" s="1" t="s">
        <v>127</v>
      </c>
      <c r="J110" s="1">
        <f t="shared" si="5"/>
        <v>0</v>
      </c>
      <c r="K110" s="7">
        <v>66724.701274380612</v>
      </c>
      <c r="L110" s="7">
        <f t="shared" si="6"/>
        <v>0</v>
      </c>
      <c r="M110" s="7">
        <f t="shared" si="7"/>
        <v>66724.701274380612</v>
      </c>
      <c r="N110" s="9">
        <v>12</v>
      </c>
      <c r="O110" s="9">
        <v>2025</v>
      </c>
      <c r="P110" s="1">
        <v>1</v>
      </c>
      <c r="T110" s="1" t="s">
        <v>28</v>
      </c>
      <c r="U110" s="55">
        <v>2.7256243443513704E-2</v>
      </c>
    </row>
    <row r="111" spans="1:21" x14ac:dyDescent="0.25">
      <c r="A111" s="1" t="s">
        <v>466</v>
      </c>
      <c r="B111" s="1">
        <v>16</v>
      </c>
      <c r="C111" s="1" t="s">
        <v>422</v>
      </c>
      <c r="D111" s="1" t="s">
        <v>407</v>
      </c>
      <c r="E111" s="1" t="s">
        <v>474</v>
      </c>
      <c r="F111" s="2">
        <v>45992</v>
      </c>
      <c r="G111" s="1">
        <v>2025</v>
      </c>
      <c r="H111" s="1" t="s">
        <v>16</v>
      </c>
      <c r="I111" s="1" t="s">
        <v>127</v>
      </c>
      <c r="J111" s="1">
        <f t="shared" si="5"/>
        <v>0</v>
      </c>
      <c r="K111" s="7">
        <v>73397.171401818676</v>
      </c>
      <c r="L111" s="7">
        <f t="shared" si="6"/>
        <v>0</v>
      </c>
      <c r="M111" s="7">
        <f t="shared" si="7"/>
        <v>73397.171401818676</v>
      </c>
      <c r="N111" s="9">
        <v>12</v>
      </c>
      <c r="O111" s="9">
        <v>2025</v>
      </c>
      <c r="P111" s="1">
        <v>1</v>
      </c>
      <c r="T111" s="1" t="s">
        <v>28</v>
      </c>
      <c r="U111" s="55">
        <v>2.9981867787865078E-2</v>
      </c>
    </row>
    <row r="112" spans="1:21" x14ac:dyDescent="0.25">
      <c r="A112" s="1" t="s">
        <v>459</v>
      </c>
      <c r="B112" s="1">
        <v>9</v>
      </c>
      <c r="C112" s="1" t="s">
        <v>402</v>
      </c>
      <c r="D112" s="1" t="s">
        <v>346</v>
      </c>
      <c r="E112" s="1" t="s">
        <v>474</v>
      </c>
      <c r="F112" s="2">
        <v>45992</v>
      </c>
      <c r="G112" s="1">
        <v>2025</v>
      </c>
      <c r="H112" s="1" t="s">
        <v>16</v>
      </c>
      <c r="I112" s="1" t="s">
        <v>127</v>
      </c>
      <c r="J112" s="1">
        <f t="shared" si="5"/>
        <v>0</v>
      </c>
      <c r="K112" s="7">
        <v>133449.40254876122</v>
      </c>
      <c r="L112" s="7">
        <f t="shared" si="6"/>
        <v>0</v>
      </c>
      <c r="M112" s="7">
        <f t="shared" si="7"/>
        <v>133449.40254876122</v>
      </c>
      <c r="N112" s="9">
        <v>12</v>
      </c>
      <c r="O112" s="9">
        <v>2025</v>
      </c>
      <c r="P112" s="1">
        <v>1</v>
      </c>
      <c r="T112" s="1" t="s">
        <v>28</v>
      </c>
      <c r="U112" s="55">
        <v>5.4512486887027409E-2</v>
      </c>
    </row>
    <row r="113" spans="1:21" x14ac:dyDescent="0.25">
      <c r="A113" s="1" t="s">
        <v>467</v>
      </c>
      <c r="B113" s="1">
        <v>17</v>
      </c>
      <c r="C113" s="1" t="s">
        <v>402</v>
      </c>
      <c r="D113" s="1" t="s">
        <v>524</v>
      </c>
      <c r="E113" s="1" t="s">
        <v>474</v>
      </c>
      <c r="F113" s="2">
        <v>45992</v>
      </c>
      <c r="G113" s="1">
        <v>2025</v>
      </c>
      <c r="H113" s="1" t="s">
        <v>16</v>
      </c>
      <c r="I113" s="1" t="s">
        <v>127</v>
      </c>
      <c r="J113" s="1">
        <f t="shared" si="5"/>
        <v>0</v>
      </c>
      <c r="K113" s="7">
        <v>28024.374535239858</v>
      </c>
      <c r="L113" s="7">
        <f t="shared" si="6"/>
        <v>0</v>
      </c>
      <c r="M113" s="7">
        <f t="shared" si="7"/>
        <v>28024.374535239858</v>
      </c>
      <c r="N113" s="9">
        <v>12</v>
      </c>
      <c r="O113" s="9">
        <v>2025</v>
      </c>
      <c r="P113" s="1">
        <v>1</v>
      </c>
      <c r="T113" s="1" t="s">
        <v>28</v>
      </c>
      <c r="U113" s="55">
        <v>1.1447622246275756E-2</v>
      </c>
    </row>
    <row r="114" spans="1:21" x14ac:dyDescent="0.25">
      <c r="A114" s="1" t="s">
        <v>458</v>
      </c>
      <c r="B114" s="1">
        <v>8</v>
      </c>
      <c r="C114" s="1" t="s">
        <v>409</v>
      </c>
      <c r="D114" s="1" t="s">
        <v>410</v>
      </c>
      <c r="E114" s="1" t="s">
        <v>474</v>
      </c>
      <c r="F114" s="2">
        <v>45992</v>
      </c>
      <c r="G114" s="1">
        <v>2025</v>
      </c>
      <c r="H114" s="1" t="s">
        <v>16</v>
      </c>
      <c r="I114" s="1" t="s">
        <v>127</v>
      </c>
      <c r="J114" s="1">
        <f t="shared" si="5"/>
        <v>0</v>
      </c>
      <c r="K114" s="7">
        <v>266898.80509752245</v>
      </c>
      <c r="L114" s="7">
        <f t="shared" si="6"/>
        <v>0</v>
      </c>
      <c r="M114" s="7">
        <f t="shared" si="7"/>
        <v>266898.80509752245</v>
      </c>
      <c r="N114" s="9">
        <v>12</v>
      </c>
      <c r="O114" s="9">
        <v>2025</v>
      </c>
      <c r="P114" s="1">
        <v>1</v>
      </c>
      <c r="T114" s="1" t="s">
        <v>28</v>
      </c>
      <c r="U114" s="55">
        <v>0.10902497377405482</v>
      </c>
    </row>
    <row r="115" spans="1:21" x14ac:dyDescent="0.25">
      <c r="A115" s="1" t="s">
        <v>451</v>
      </c>
      <c r="B115" s="1">
        <v>1</v>
      </c>
      <c r="C115" s="1" t="s">
        <v>527</v>
      </c>
      <c r="D115" s="1" t="s">
        <v>346</v>
      </c>
      <c r="E115" s="1" t="s">
        <v>474</v>
      </c>
      <c r="F115" s="2">
        <v>45992</v>
      </c>
      <c r="G115" s="1">
        <v>2025</v>
      </c>
      <c r="H115" s="1" t="s">
        <v>16</v>
      </c>
      <c r="I115" s="1" t="s">
        <v>127</v>
      </c>
      <c r="J115" s="1">
        <f t="shared" si="5"/>
        <v>0</v>
      </c>
      <c r="K115" s="7">
        <v>266898.80509752245</v>
      </c>
      <c r="L115" s="7">
        <f t="shared" si="6"/>
        <v>0</v>
      </c>
      <c r="M115" s="7">
        <f t="shared" si="7"/>
        <v>266898.80509752245</v>
      </c>
      <c r="N115" s="9">
        <v>12</v>
      </c>
      <c r="O115" s="9">
        <v>2025</v>
      </c>
      <c r="P115" s="1">
        <v>1</v>
      </c>
      <c r="T115" s="1" t="s">
        <v>28</v>
      </c>
      <c r="U115" s="55">
        <v>0.10902497377405482</v>
      </c>
    </row>
    <row r="116" spans="1:21" x14ac:dyDescent="0.25">
      <c r="A116" s="1" t="s">
        <v>453</v>
      </c>
      <c r="B116" s="1">
        <v>3</v>
      </c>
      <c r="C116" s="1" t="s">
        <v>472</v>
      </c>
      <c r="D116" s="1" t="s">
        <v>410</v>
      </c>
      <c r="E116" s="1" t="s">
        <v>474</v>
      </c>
      <c r="F116" s="2">
        <v>45992</v>
      </c>
      <c r="G116" s="1">
        <v>2025</v>
      </c>
      <c r="H116" s="1" t="s">
        <v>16</v>
      </c>
      <c r="I116" s="1" t="s">
        <v>127</v>
      </c>
      <c r="J116" s="1">
        <f t="shared" si="5"/>
        <v>0</v>
      </c>
      <c r="K116" s="7">
        <v>321280.90457957069</v>
      </c>
      <c r="L116" s="7">
        <f t="shared" si="6"/>
        <v>0</v>
      </c>
      <c r="M116" s="7">
        <f t="shared" si="7"/>
        <v>321280.90457957069</v>
      </c>
      <c r="N116" s="9">
        <v>12</v>
      </c>
      <c r="O116" s="9">
        <v>2025</v>
      </c>
      <c r="P116" s="1">
        <v>1</v>
      </c>
      <c r="T116" s="1" t="s">
        <v>28</v>
      </c>
      <c r="U116" s="55">
        <v>0.13123941181787424</v>
      </c>
    </row>
    <row r="117" spans="1:21" x14ac:dyDescent="0.25">
      <c r="A117" s="1" t="s">
        <v>584</v>
      </c>
      <c r="B117" s="1">
        <v>11</v>
      </c>
      <c r="C117" s="1" t="s">
        <v>417</v>
      </c>
      <c r="D117" s="1" t="s">
        <v>410</v>
      </c>
      <c r="E117" s="1" t="s">
        <v>587</v>
      </c>
      <c r="F117" s="2">
        <v>45992</v>
      </c>
      <c r="G117" s="1">
        <v>2025</v>
      </c>
      <c r="H117" s="1" t="s">
        <v>16</v>
      </c>
      <c r="K117" s="7">
        <v>-28000</v>
      </c>
      <c r="L117" s="7">
        <v>0</v>
      </c>
      <c r="M117" s="7">
        <f t="shared" si="7"/>
        <v>-28000</v>
      </c>
      <c r="N117" s="9">
        <v>12</v>
      </c>
      <c r="O117" s="9">
        <v>2025</v>
      </c>
      <c r="P117" s="1">
        <v>1</v>
      </c>
      <c r="Q117" s="10"/>
      <c r="T117" s="1" t="s">
        <v>28</v>
      </c>
      <c r="U117" s="1" t="s">
        <v>589</v>
      </c>
    </row>
    <row r="118" spans="1:21" x14ac:dyDescent="0.25">
      <c r="A118" s="1" t="s">
        <v>586</v>
      </c>
      <c r="B118" s="1">
        <v>4</v>
      </c>
      <c r="C118" s="1" t="s">
        <v>525</v>
      </c>
      <c r="D118" s="1" t="s">
        <v>526</v>
      </c>
      <c r="E118" s="1" t="s">
        <v>587</v>
      </c>
      <c r="F118" s="2">
        <v>45992</v>
      </c>
      <c r="G118" s="1">
        <v>2025</v>
      </c>
      <c r="H118" s="1" t="s">
        <v>16</v>
      </c>
      <c r="K118" s="7">
        <v>-12000</v>
      </c>
      <c r="L118" s="7">
        <v>0</v>
      </c>
      <c r="M118" s="7">
        <f t="shared" si="7"/>
        <v>-12000</v>
      </c>
      <c r="N118" s="9">
        <v>12</v>
      </c>
      <c r="O118" s="9">
        <v>2025</v>
      </c>
      <c r="P118" s="1">
        <v>1</v>
      </c>
      <c r="T118" s="1" t="s">
        <v>28</v>
      </c>
      <c r="U118" s="1" t="s">
        <v>590</v>
      </c>
    </row>
    <row r="119" spans="1:21" x14ac:dyDescent="0.25">
      <c r="A119" s="1" t="s">
        <v>591</v>
      </c>
      <c r="B119" s="1">
        <v>15</v>
      </c>
      <c r="C119" s="1" t="s">
        <v>394</v>
      </c>
      <c r="D119" s="1" t="s">
        <v>395</v>
      </c>
      <c r="E119" s="1" t="s">
        <v>587</v>
      </c>
      <c r="F119" s="2">
        <v>45992</v>
      </c>
      <c r="G119" s="1">
        <v>2025</v>
      </c>
      <c r="H119" s="1" t="s">
        <v>16</v>
      </c>
      <c r="K119" s="7">
        <v>-6000</v>
      </c>
      <c r="L119" s="7">
        <f>1000*J119</f>
        <v>0</v>
      </c>
      <c r="M119" s="7">
        <f t="shared" si="7"/>
        <v>-6000</v>
      </c>
      <c r="N119" s="9">
        <v>12</v>
      </c>
      <c r="O119" s="9">
        <v>2025</v>
      </c>
      <c r="P119" s="1">
        <v>1</v>
      </c>
      <c r="T119" s="1" t="s">
        <v>28</v>
      </c>
      <c r="U119" s="1" t="s">
        <v>592</v>
      </c>
    </row>
    <row r="120" spans="1:21" x14ac:dyDescent="0.25">
      <c r="A120" s="1" t="s">
        <v>593</v>
      </c>
      <c r="B120" s="1">
        <v>20</v>
      </c>
      <c r="C120" s="1" t="s">
        <v>520</v>
      </c>
      <c r="D120" s="1" t="s">
        <v>410</v>
      </c>
      <c r="E120" s="1" t="s">
        <v>587</v>
      </c>
      <c r="F120" s="2">
        <v>45992</v>
      </c>
      <c r="G120" s="1">
        <v>2025</v>
      </c>
      <c r="H120" s="1" t="s">
        <v>16</v>
      </c>
      <c r="K120" s="7">
        <v>-39000</v>
      </c>
      <c r="L120" s="7">
        <f>1000*J120</f>
        <v>0</v>
      </c>
      <c r="M120" s="7">
        <f t="shared" si="7"/>
        <v>-39000</v>
      </c>
      <c r="N120" s="9">
        <v>12</v>
      </c>
      <c r="O120" s="9">
        <v>2025</v>
      </c>
      <c r="P120" s="1">
        <v>1</v>
      </c>
      <c r="T120" s="1" t="s">
        <v>28</v>
      </c>
      <c r="U120" s="1" t="s">
        <v>594</v>
      </c>
    </row>
    <row r="121" spans="1:21" x14ac:dyDescent="0.25">
      <c r="A121" s="1" t="s">
        <v>595</v>
      </c>
      <c r="B121" s="1">
        <v>12</v>
      </c>
      <c r="C121" s="1" t="s">
        <v>521</v>
      </c>
      <c r="D121" s="1" t="s">
        <v>522</v>
      </c>
      <c r="E121" s="1" t="s">
        <v>587</v>
      </c>
      <c r="F121" s="2">
        <v>45992</v>
      </c>
      <c r="G121" s="1">
        <v>2025</v>
      </c>
      <c r="H121" s="1" t="s">
        <v>16</v>
      </c>
      <c r="K121" s="7">
        <v>-39000</v>
      </c>
      <c r="L121" s="7">
        <f>1000*J121</f>
        <v>0</v>
      </c>
      <c r="M121" s="7">
        <f t="shared" si="7"/>
        <v>-39000</v>
      </c>
      <c r="N121" s="9">
        <v>12</v>
      </c>
      <c r="O121" s="9">
        <v>2025</v>
      </c>
      <c r="P121" s="1">
        <v>1</v>
      </c>
      <c r="T121" s="1" t="s">
        <v>28</v>
      </c>
      <c r="U121" s="1" t="s">
        <v>594</v>
      </c>
    </row>
    <row r="122" spans="1:21" x14ac:dyDescent="0.25">
      <c r="A122" s="1" t="s">
        <v>596</v>
      </c>
      <c r="B122" s="1">
        <v>14</v>
      </c>
      <c r="C122" s="1" t="s">
        <v>523</v>
      </c>
      <c r="D122" s="1" t="s">
        <v>339</v>
      </c>
      <c r="E122" s="1" t="s">
        <v>587</v>
      </c>
      <c r="F122" s="2">
        <v>45992</v>
      </c>
      <c r="G122" s="1">
        <v>2025</v>
      </c>
      <c r="H122" s="1" t="s">
        <v>16</v>
      </c>
      <c r="K122" s="7">
        <v>-40000</v>
      </c>
      <c r="L122" s="7">
        <v>0</v>
      </c>
      <c r="M122" s="7">
        <f t="shared" si="7"/>
        <v>-40000</v>
      </c>
      <c r="N122" s="9">
        <v>12</v>
      </c>
      <c r="O122" s="9">
        <v>2025</v>
      </c>
      <c r="P122" s="1">
        <v>1</v>
      </c>
      <c r="S122" s="5"/>
      <c r="T122" s="1" t="s">
        <v>28</v>
      </c>
      <c r="U122" s="1" t="s">
        <v>598</v>
      </c>
    </row>
    <row r="123" spans="1:21" x14ac:dyDescent="0.25">
      <c r="A123" s="1" t="s">
        <v>597</v>
      </c>
      <c r="B123" s="1">
        <v>17</v>
      </c>
      <c r="C123" s="1" t="s">
        <v>402</v>
      </c>
      <c r="D123" s="1" t="s">
        <v>524</v>
      </c>
      <c r="E123" s="1" t="s">
        <v>587</v>
      </c>
      <c r="F123" s="2">
        <v>45992</v>
      </c>
      <c r="G123" s="1">
        <v>2025</v>
      </c>
      <c r="H123" s="1" t="s">
        <v>16</v>
      </c>
      <c r="K123" s="7">
        <v>-40000</v>
      </c>
      <c r="L123" s="7">
        <v>0</v>
      </c>
      <c r="M123" s="7">
        <f t="shared" si="7"/>
        <v>-40000</v>
      </c>
      <c r="N123" s="9">
        <v>12</v>
      </c>
      <c r="O123" s="9">
        <v>2025</v>
      </c>
      <c r="P123" s="1">
        <v>1</v>
      </c>
      <c r="S123" s="5"/>
      <c r="T123" s="1" t="s">
        <v>28</v>
      </c>
      <c r="U123" s="1" t="s">
        <v>598</v>
      </c>
    </row>
    <row r="124" spans="1:21" x14ac:dyDescent="0.25">
      <c r="A124" s="1" t="s">
        <v>488</v>
      </c>
      <c r="B124" s="1">
        <v>11</v>
      </c>
      <c r="C124" s="1" t="s">
        <v>417</v>
      </c>
      <c r="D124" s="1" t="s">
        <v>410</v>
      </c>
      <c r="E124" s="1" t="s">
        <v>473</v>
      </c>
      <c r="F124" s="2">
        <v>45988</v>
      </c>
      <c r="G124" s="1">
        <v>2025</v>
      </c>
      <c r="H124" s="1" t="s">
        <v>17</v>
      </c>
      <c r="I124" s="1" t="s">
        <v>127</v>
      </c>
      <c r="J124" s="1">
        <f t="shared" ref="J124:J187" si="8">0*0</f>
        <v>0</v>
      </c>
      <c r="K124" s="7">
        <f>-714953+500000</f>
        <v>-214953</v>
      </c>
      <c r="L124" s="7">
        <f t="shared" ref="L124:L132" si="9">J124*1000</f>
        <v>0</v>
      </c>
      <c r="M124" s="7">
        <f t="shared" si="7"/>
        <v>-214953</v>
      </c>
      <c r="N124" s="9">
        <v>12</v>
      </c>
      <c r="O124" s="9">
        <v>2025</v>
      </c>
      <c r="P124" s="1">
        <v>1</v>
      </c>
      <c r="Q124" s="1" t="s">
        <v>33</v>
      </c>
      <c r="R124" s="1" t="s">
        <v>489</v>
      </c>
      <c r="T124" s="1" t="s">
        <v>36</v>
      </c>
    </row>
    <row r="125" spans="1:21" x14ac:dyDescent="0.25">
      <c r="A125" s="1" t="s">
        <v>486</v>
      </c>
      <c r="B125" s="1">
        <v>10</v>
      </c>
      <c r="C125" s="1" t="s">
        <v>345</v>
      </c>
      <c r="D125" s="1" t="s">
        <v>346</v>
      </c>
      <c r="E125" s="1" t="s">
        <v>473</v>
      </c>
      <c r="F125" s="2">
        <v>45988</v>
      </c>
      <c r="G125" s="1">
        <v>2025</v>
      </c>
      <c r="H125" s="1" t="s">
        <v>17</v>
      </c>
      <c r="I125" s="1" t="s">
        <v>127</v>
      </c>
      <c r="J125" s="1">
        <f t="shared" si="8"/>
        <v>0</v>
      </c>
      <c r="K125" s="7">
        <v>-618362</v>
      </c>
      <c r="L125" s="7">
        <f t="shared" si="9"/>
        <v>0</v>
      </c>
      <c r="M125" s="7">
        <f t="shared" si="7"/>
        <v>-618362</v>
      </c>
      <c r="N125" s="9">
        <v>12</v>
      </c>
      <c r="O125" s="9">
        <v>2025</v>
      </c>
      <c r="P125" s="1">
        <v>1</v>
      </c>
      <c r="Q125" s="1" t="s">
        <v>22</v>
      </c>
      <c r="R125" s="1" t="s">
        <v>487</v>
      </c>
      <c r="T125" s="1" t="s">
        <v>36</v>
      </c>
    </row>
    <row r="126" spans="1:21" x14ac:dyDescent="0.25">
      <c r="A126" s="1" t="s">
        <v>479</v>
      </c>
      <c r="B126" s="1">
        <v>19</v>
      </c>
      <c r="C126" s="1" t="s">
        <v>338</v>
      </c>
      <c r="D126" s="1" t="s">
        <v>339</v>
      </c>
      <c r="E126" s="1" t="s">
        <v>473</v>
      </c>
      <c r="F126" s="2">
        <v>45987</v>
      </c>
      <c r="G126" s="1">
        <v>2025</v>
      </c>
      <c r="H126" s="1" t="s">
        <v>17</v>
      </c>
      <c r="I126" s="1" t="s">
        <v>127</v>
      </c>
      <c r="J126" s="1">
        <f t="shared" si="8"/>
        <v>0</v>
      </c>
      <c r="K126" s="7">
        <v>-5596696</v>
      </c>
      <c r="L126" s="7">
        <f t="shared" si="9"/>
        <v>0</v>
      </c>
      <c r="M126" s="7">
        <f t="shared" si="7"/>
        <v>-5596696</v>
      </c>
      <c r="N126" s="9">
        <v>12</v>
      </c>
      <c r="O126" s="9">
        <v>2025</v>
      </c>
      <c r="P126" s="1">
        <v>1</v>
      </c>
      <c r="Q126" s="1" t="s">
        <v>33</v>
      </c>
      <c r="R126" s="1" t="s">
        <v>480</v>
      </c>
      <c r="T126" s="1" t="s">
        <v>36</v>
      </c>
    </row>
    <row r="127" spans="1:21" x14ac:dyDescent="0.25">
      <c r="A127" s="1" t="s">
        <v>481</v>
      </c>
      <c r="B127" s="1">
        <v>18</v>
      </c>
      <c r="C127" s="1" t="s">
        <v>406</v>
      </c>
      <c r="D127" s="1" t="s">
        <v>407</v>
      </c>
      <c r="E127" s="1" t="s">
        <v>473</v>
      </c>
      <c r="F127" s="2">
        <v>45987</v>
      </c>
      <c r="G127" s="1">
        <v>2025</v>
      </c>
      <c r="H127" s="1" t="s">
        <v>17</v>
      </c>
      <c r="I127" s="1" t="s">
        <v>127</v>
      </c>
      <c r="J127" s="1">
        <f t="shared" si="8"/>
        <v>0</v>
      </c>
      <c r="K127" s="7">
        <v>-3539315</v>
      </c>
      <c r="L127" s="7">
        <f t="shared" si="9"/>
        <v>0</v>
      </c>
      <c r="M127" s="7">
        <f t="shared" si="7"/>
        <v>-3539315</v>
      </c>
      <c r="N127" s="9">
        <v>12</v>
      </c>
      <c r="O127" s="9">
        <v>2025</v>
      </c>
      <c r="P127" s="1">
        <v>1</v>
      </c>
      <c r="Q127" s="1" t="s">
        <v>33</v>
      </c>
      <c r="R127" s="1" t="s">
        <v>482</v>
      </c>
      <c r="T127" s="1" t="s">
        <v>36</v>
      </c>
    </row>
    <row r="128" spans="1:21" x14ac:dyDescent="0.25">
      <c r="A128" s="1" t="s">
        <v>483</v>
      </c>
      <c r="B128" s="1">
        <v>9</v>
      </c>
      <c r="C128" s="1" t="s">
        <v>402</v>
      </c>
      <c r="D128" s="1" t="s">
        <v>346</v>
      </c>
      <c r="E128" s="1" t="s">
        <v>473</v>
      </c>
      <c r="F128" s="2">
        <v>45987</v>
      </c>
      <c r="G128" s="1">
        <v>2025</v>
      </c>
      <c r="H128" s="1" t="s">
        <v>17</v>
      </c>
      <c r="I128" s="1" t="s">
        <v>127</v>
      </c>
      <c r="J128" s="1">
        <f t="shared" si="8"/>
        <v>0</v>
      </c>
      <c r="K128" s="7">
        <v>-1233449</v>
      </c>
      <c r="L128" s="7">
        <f t="shared" si="9"/>
        <v>0</v>
      </c>
      <c r="M128" s="7">
        <f t="shared" si="7"/>
        <v>-1233449</v>
      </c>
      <c r="N128" s="9">
        <v>12</v>
      </c>
      <c r="O128" s="9">
        <v>2025</v>
      </c>
      <c r="P128" s="1">
        <v>1</v>
      </c>
      <c r="Q128" s="1" t="s">
        <v>484</v>
      </c>
      <c r="R128" s="1" t="s">
        <v>485</v>
      </c>
      <c r="T128" s="1" t="s">
        <v>36</v>
      </c>
    </row>
    <row r="129" spans="1:21" x14ac:dyDescent="0.25">
      <c r="A129" s="1" t="s">
        <v>476</v>
      </c>
      <c r="B129" s="1">
        <v>8</v>
      </c>
      <c r="C129" s="1" t="s">
        <v>409</v>
      </c>
      <c r="D129" s="1" t="s">
        <v>410</v>
      </c>
      <c r="E129" s="1" t="s">
        <v>473</v>
      </c>
      <c r="F129" s="2">
        <v>45987</v>
      </c>
      <c r="G129" s="1">
        <v>2025</v>
      </c>
      <c r="H129" s="1" t="s">
        <v>17</v>
      </c>
      <c r="I129" s="1" t="s">
        <v>127</v>
      </c>
      <c r="J129" s="1">
        <f t="shared" si="8"/>
        <v>0</v>
      </c>
      <c r="K129" s="7">
        <v>-2466899</v>
      </c>
      <c r="L129" s="7">
        <f t="shared" si="9"/>
        <v>0</v>
      </c>
      <c r="M129" s="7">
        <f t="shared" si="7"/>
        <v>-2466899</v>
      </c>
      <c r="N129" s="9">
        <v>12</v>
      </c>
      <c r="O129" s="9">
        <v>2025</v>
      </c>
      <c r="P129" s="1">
        <v>1</v>
      </c>
      <c r="Q129" s="1" t="s">
        <v>39</v>
      </c>
      <c r="R129" s="1" t="s">
        <v>478</v>
      </c>
      <c r="S129" s="1" t="s">
        <v>477</v>
      </c>
      <c r="T129" s="1" t="s">
        <v>36</v>
      </c>
    </row>
    <row r="130" spans="1:21" x14ac:dyDescent="0.25">
      <c r="A130" s="1" t="s">
        <v>471</v>
      </c>
      <c r="B130" s="1">
        <v>3</v>
      </c>
      <c r="C130" s="1" t="s">
        <v>472</v>
      </c>
      <c r="D130" s="1" t="s">
        <v>410</v>
      </c>
      <c r="E130" s="1" t="s">
        <v>473</v>
      </c>
      <c r="F130" s="2">
        <v>45987</v>
      </c>
      <c r="G130" s="1">
        <v>2025</v>
      </c>
      <c r="H130" s="1" t="s">
        <v>17</v>
      </c>
      <c r="I130" s="1" t="s">
        <v>127</v>
      </c>
      <c r="J130" s="1">
        <f t="shared" si="8"/>
        <v>0</v>
      </c>
      <c r="K130" s="7">
        <v>-2768792</v>
      </c>
      <c r="L130" s="7">
        <f t="shared" si="9"/>
        <v>0</v>
      </c>
      <c r="M130" s="7">
        <f t="shared" si="7"/>
        <v>-2768792</v>
      </c>
      <c r="N130" s="9">
        <v>12</v>
      </c>
      <c r="O130" s="9">
        <v>2025</v>
      </c>
      <c r="P130" s="1">
        <v>1</v>
      </c>
      <c r="Q130" s="1" t="s">
        <v>90</v>
      </c>
      <c r="R130" s="1" t="s">
        <v>475</v>
      </c>
      <c r="T130" s="1" t="s">
        <v>36</v>
      </c>
    </row>
    <row r="131" spans="1:21" x14ac:dyDescent="0.25">
      <c r="A131" s="1" t="s">
        <v>425</v>
      </c>
      <c r="B131" s="1">
        <v>19</v>
      </c>
      <c r="C131" s="1" t="s">
        <v>338</v>
      </c>
      <c r="D131" s="1" t="s">
        <v>339</v>
      </c>
      <c r="E131" s="1" t="s">
        <v>26</v>
      </c>
      <c r="F131" s="2">
        <v>45980</v>
      </c>
      <c r="G131" s="1">
        <v>2025</v>
      </c>
      <c r="H131" s="1" t="s">
        <v>17</v>
      </c>
      <c r="I131" s="1" t="s">
        <v>127</v>
      </c>
      <c r="J131" s="1">
        <f t="shared" si="8"/>
        <v>0</v>
      </c>
      <c r="K131" s="43">
        <v>600000</v>
      </c>
      <c r="L131" s="7">
        <f t="shared" si="9"/>
        <v>0</v>
      </c>
      <c r="M131" s="7">
        <f t="shared" si="7"/>
        <v>600000</v>
      </c>
      <c r="N131" s="9">
        <v>11</v>
      </c>
      <c r="O131" s="9">
        <v>2025</v>
      </c>
      <c r="P131" s="1">
        <v>1</v>
      </c>
      <c r="Q131" s="1" t="s">
        <v>33</v>
      </c>
      <c r="R131" s="1">
        <v>90165</v>
      </c>
      <c r="S131" s="1">
        <v>6852</v>
      </c>
      <c r="T131" s="1" t="s">
        <v>36</v>
      </c>
      <c r="U131" s="1" t="s">
        <v>162</v>
      </c>
    </row>
    <row r="132" spans="1:21" x14ac:dyDescent="0.25">
      <c r="A132" s="1" t="s">
        <v>421</v>
      </c>
      <c r="B132" s="1">
        <v>4</v>
      </c>
      <c r="C132" s="1" t="s">
        <v>525</v>
      </c>
      <c r="D132" s="1" t="s">
        <v>526</v>
      </c>
      <c r="E132" s="1" t="s">
        <v>26</v>
      </c>
      <c r="F132" s="2">
        <v>45971</v>
      </c>
      <c r="G132" s="1">
        <v>2025</v>
      </c>
      <c r="H132" s="1" t="s">
        <v>17</v>
      </c>
      <c r="I132" s="1" t="s">
        <v>127</v>
      </c>
      <c r="J132" s="1">
        <f t="shared" si="8"/>
        <v>0</v>
      </c>
      <c r="K132" s="43">
        <v>100000</v>
      </c>
      <c r="L132" s="7">
        <f t="shared" si="9"/>
        <v>0</v>
      </c>
      <c r="M132" s="7">
        <f t="shared" si="7"/>
        <v>100000</v>
      </c>
      <c r="N132" s="9">
        <v>11</v>
      </c>
      <c r="O132" s="9">
        <v>2025</v>
      </c>
      <c r="P132" s="1">
        <v>1</v>
      </c>
      <c r="Q132" s="1" t="s">
        <v>22</v>
      </c>
      <c r="R132" s="1">
        <v>4862</v>
      </c>
      <c r="S132" s="1">
        <v>2651</v>
      </c>
      <c r="T132" s="1" t="s">
        <v>36</v>
      </c>
    </row>
    <row r="133" spans="1:21" x14ac:dyDescent="0.25">
      <c r="A133" s="1" t="s">
        <v>420</v>
      </c>
      <c r="B133" s="1">
        <v>7</v>
      </c>
      <c r="C133" s="1" t="s">
        <v>514</v>
      </c>
      <c r="D133" s="1" t="s">
        <v>515</v>
      </c>
      <c r="E133" s="1" t="s">
        <v>26</v>
      </c>
      <c r="F133" s="2">
        <v>45971</v>
      </c>
      <c r="G133" s="1">
        <v>2025</v>
      </c>
      <c r="H133" s="1" t="s">
        <v>17</v>
      </c>
      <c r="I133" s="1" t="s">
        <v>127</v>
      </c>
      <c r="J133" s="1">
        <f t="shared" si="8"/>
        <v>0</v>
      </c>
      <c r="K133" s="43">
        <v>50000</v>
      </c>
      <c r="L133" s="7">
        <v>0</v>
      </c>
      <c r="M133" s="7">
        <f t="shared" ref="M133" si="10">K133-L133</f>
        <v>50000</v>
      </c>
      <c r="N133" s="9">
        <v>11</v>
      </c>
      <c r="O133" s="9">
        <v>2025</v>
      </c>
      <c r="P133" s="1">
        <v>1</v>
      </c>
      <c r="Q133" s="10" t="s">
        <v>80</v>
      </c>
      <c r="R133" s="1">
        <v>19411513</v>
      </c>
      <c r="S133" s="1">
        <v>9030</v>
      </c>
      <c r="T133" s="1" t="s">
        <v>36</v>
      </c>
    </row>
    <row r="134" spans="1:21" x14ac:dyDescent="0.25">
      <c r="A134" s="1" t="s">
        <v>423</v>
      </c>
      <c r="B134" s="1">
        <v>16</v>
      </c>
      <c r="C134" s="1" t="s">
        <v>422</v>
      </c>
      <c r="D134" s="1" t="s">
        <v>407</v>
      </c>
      <c r="E134" s="1" t="s">
        <v>26</v>
      </c>
      <c r="F134" s="2">
        <v>45971</v>
      </c>
      <c r="G134" s="1">
        <v>2025</v>
      </c>
      <c r="H134" s="1" t="s">
        <v>16</v>
      </c>
      <c r="I134" s="1" t="s">
        <v>127</v>
      </c>
      <c r="J134" s="1">
        <f t="shared" si="8"/>
        <v>0</v>
      </c>
      <c r="K134" s="43">
        <v>50000</v>
      </c>
      <c r="L134" s="7">
        <v>0</v>
      </c>
      <c r="M134" s="7">
        <v>50000</v>
      </c>
      <c r="N134" s="9">
        <v>12</v>
      </c>
      <c r="O134" s="9">
        <v>2025</v>
      </c>
      <c r="P134" s="1">
        <v>1</v>
      </c>
      <c r="Q134" s="1" t="s">
        <v>84</v>
      </c>
      <c r="R134" s="1" t="s">
        <v>424</v>
      </c>
      <c r="S134" s="1">
        <v>2097</v>
      </c>
      <c r="T134" s="1" t="s">
        <v>36</v>
      </c>
    </row>
    <row r="135" spans="1:21" x14ac:dyDescent="0.25">
      <c r="A135" s="1" t="s">
        <v>413</v>
      </c>
      <c r="B135" s="1">
        <v>6</v>
      </c>
      <c r="C135" s="1" t="s">
        <v>415</v>
      </c>
      <c r="D135" s="1" t="s">
        <v>416</v>
      </c>
      <c r="E135" s="1" t="s">
        <v>26</v>
      </c>
      <c r="F135" s="2">
        <v>45968</v>
      </c>
      <c r="G135" s="1">
        <v>2025</v>
      </c>
      <c r="H135" s="1" t="s">
        <v>17</v>
      </c>
      <c r="I135" s="1" t="s">
        <v>127</v>
      </c>
      <c r="J135" s="1">
        <f t="shared" si="8"/>
        <v>0</v>
      </c>
      <c r="K135" s="43">
        <v>20000</v>
      </c>
      <c r="L135" s="7">
        <v>0</v>
      </c>
      <c r="M135" s="7">
        <v>20000</v>
      </c>
      <c r="N135" s="9">
        <v>11</v>
      </c>
      <c r="O135" s="9">
        <v>2025</v>
      </c>
      <c r="P135" s="1">
        <v>1</v>
      </c>
      <c r="Q135" s="1" t="s">
        <v>80</v>
      </c>
      <c r="R135" s="1">
        <v>19176684</v>
      </c>
      <c r="S135" s="1">
        <v>8600</v>
      </c>
      <c r="T135" s="1" t="s">
        <v>36</v>
      </c>
    </row>
    <row r="136" spans="1:21" x14ac:dyDescent="0.25">
      <c r="A136" s="1" t="s">
        <v>418</v>
      </c>
      <c r="B136" s="1">
        <v>11</v>
      </c>
      <c r="C136" s="1" t="s">
        <v>417</v>
      </c>
      <c r="D136" s="1" t="s">
        <v>410</v>
      </c>
      <c r="E136" s="1" t="s">
        <v>26</v>
      </c>
      <c r="F136" s="2">
        <v>45968</v>
      </c>
      <c r="G136" s="1">
        <v>2025</v>
      </c>
      <c r="H136" s="1" t="s">
        <v>17</v>
      </c>
      <c r="I136" s="1" t="s">
        <v>127</v>
      </c>
      <c r="J136" s="1">
        <f t="shared" si="8"/>
        <v>0</v>
      </c>
      <c r="K136" s="7">
        <v>20000</v>
      </c>
      <c r="L136" s="7">
        <v>0</v>
      </c>
      <c r="M136" s="7">
        <v>20000</v>
      </c>
      <c r="N136" s="9">
        <v>11</v>
      </c>
      <c r="O136" s="9">
        <v>2025</v>
      </c>
      <c r="P136" s="1">
        <v>1</v>
      </c>
      <c r="Q136" s="1" t="s">
        <v>80</v>
      </c>
      <c r="R136" s="1">
        <v>19176707</v>
      </c>
      <c r="S136" s="1">
        <v>8600</v>
      </c>
      <c r="T136" s="1" t="s">
        <v>36</v>
      </c>
    </row>
    <row r="137" spans="1:21" x14ac:dyDescent="0.25">
      <c r="A137" s="1" t="s">
        <v>419</v>
      </c>
      <c r="B137" s="1">
        <v>10</v>
      </c>
      <c r="C137" s="1" t="s">
        <v>345</v>
      </c>
      <c r="D137" s="1" t="s">
        <v>346</v>
      </c>
      <c r="E137" s="1" t="s">
        <v>26</v>
      </c>
      <c r="F137" s="2">
        <v>45968</v>
      </c>
      <c r="G137" s="1">
        <v>2025</v>
      </c>
      <c r="H137" s="1" t="s">
        <v>17</v>
      </c>
      <c r="I137" s="1" t="s">
        <v>127</v>
      </c>
      <c r="J137" s="1">
        <f t="shared" si="8"/>
        <v>0</v>
      </c>
      <c r="K137" s="7">
        <v>50000</v>
      </c>
      <c r="L137" s="7">
        <v>0</v>
      </c>
      <c r="M137" s="7">
        <v>50000</v>
      </c>
      <c r="N137" s="9">
        <v>11</v>
      </c>
      <c r="O137" s="9">
        <v>2025</v>
      </c>
      <c r="P137" s="1">
        <v>1</v>
      </c>
      <c r="Q137" s="1" t="s">
        <v>84</v>
      </c>
      <c r="T137" s="1" t="s">
        <v>36</v>
      </c>
    </row>
    <row r="138" spans="1:21" x14ac:dyDescent="0.25">
      <c r="A138" s="1" t="s">
        <v>412</v>
      </c>
      <c r="B138" s="1">
        <v>2</v>
      </c>
      <c r="C138" s="1" t="s">
        <v>414</v>
      </c>
      <c r="D138" s="1" t="s">
        <v>410</v>
      </c>
      <c r="E138" s="1" t="s">
        <v>26</v>
      </c>
      <c r="F138" s="2">
        <v>45968</v>
      </c>
      <c r="G138" s="1">
        <v>2025</v>
      </c>
      <c r="H138" s="1" t="s">
        <v>17</v>
      </c>
      <c r="I138" s="1" t="s">
        <v>127</v>
      </c>
      <c r="J138" s="1">
        <f t="shared" si="8"/>
        <v>0</v>
      </c>
      <c r="K138" s="43">
        <v>50000</v>
      </c>
      <c r="L138" s="7">
        <v>0</v>
      </c>
      <c r="M138" s="7">
        <v>50000</v>
      </c>
      <c r="N138" s="9">
        <v>11</v>
      </c>
      <c r="O138" s="9">
        <v>2025</v>
      </c>
      <c r="P138" s="1">
        <v>1</v>
      </c>
      <c r="Q138" s="1" t="s">
        <v>80</v>
      </c>
      <c r="R138" s="1">
        <v>19176636</v>
      </c>
      <c r="S138" s="1">
        <v>8600</v>
      </c>
      <c r="T138" s="1" t="s">
        <v>36</v>
      </c>
    </row>
    <row r="139" spans="1:21" x14ac:dyDescent="0.25">
      <c r="A139" s="1" t="s">
        <v>405</v>
      </c>
      <c r="B139" s="1">
        <v>18</v>
      </c>
      <c r="C139" s="1" t="s">
        <v>406</v>
      </c>
      <c r="D139" s="1" t="s">
        <v>407</v>
      </c>
      <c r="E139" s="1" t="s">
        <v>26</v>
      </c>
      <c r="F139" s="2">
        <v>45967</v>
      </c>
      <c r="G139" s="1">
        <v>2025</v>
      </c>
      <c r="H139" s="1" t="s">
        <v>17</v>
      </c>
      <c r="I139" s="1" t="s">
        <v>127</v>
      </c>
      <c r="J139" s="1">
        <f t="shared" si="8"/>
        <v>0</v>
      </c>
      <c r="K139" s="7">
        <v>500000</v>
      </c>
      <c r="L139" s="7">
        <v>0</v>
      </c>
      <c r="M139" s="7">
        <f>K139-L139</f>
        <v>500000</v>
      </c>
      <c r="N139" s="9">
        <v>11</v>
      </c>
      <c r="O139" s="9">
        <v>2025</v>
      </c>
      <c r="P139" s="1">
        <v>1</v>
      </c>
      <c r="Q139" s="1" t="s">
        <v>33</v>
      </c>
      <c r="S139" s="1">
        <v>6820</v>
      </c>
      <c r="T139" s="1" t="s">
        <v>36</v>
      </c>
      <c r="U139" s="1" t="s">
        <v>162</v>
      </c>
    </row>
    <row r="140" spans="1:21" x14ac:dyDescent="0.25">
      <c r="A140" s="1" t="s">
        <v>408</v>
      </c>
      <c r="B140" s="1">
        <v>18</v>
      </c>
      <c r="C140" s="1" t="s">
        <v>406</v>
      </c>
      <c r="D140" s="1" t="s">
        <v>407</v>
      </c>
      <c r="E140" s="1" t="s">
        <v>26</v>
      </c>
      <c r="F140" s="2">
        <v>45967</v>
      </c>
      <c r="G140" s="1">
        <v>2025</v>
      </c>
      <c r="H140" s="1" t="s">
        <v>16</v>
      </c>
      <c r="I140" s="1" t="s">
        <v>127</v>
      </c>
      <c r="J140" s="1">
        <f t="shared" si="8"/>
        <v>0</v>
      </c>
      <c r="K140" s="7">
        <v>500000</v>
      </c>
      <c r="L140" s="7">
        <v>0</v>
      </c>
      <c r="M140" s="7">
        <f>K140-L140</f>
        <v>500000</v>
      </c>
      <c r="N140" s="9">
        <v>12</v>
      </c>
      <c r="O140" s="9">
        <v>2025</v>
      </c>
      <c r="P140" s="1">
        <v>1</v>
      </c>
      <c r="Q140" s="1" t="s">
        <v>33</v>
      </c>
      <c r="S140" s="1">
        <v>6820</v>
      </c>
      <c r="T140" s="1" t="s">
        <v>36</v>
      </c>
      <c r="U140" s="1" t="s">
        <v>162</v>
      </c>
    </row>
    <row r="141" spans="1:21" x14ac:dyDescent="0.25">
      <c r="A141" s="1" t="s">
        <v>411</v>
      </c>
      <c r="B141" s="1">
        <v>8</v>
      </c>
      <c r="C141" s="1" t="s">
        <v>409</v>
      </c>
      <c r="D141" s="1" t="s">
        <v>410</v>
      </c>
      <c r="E141" s="1" t="s">
        <v>26</v>
      </c>
      <c r="F141" s="2">
        <v>45967</v>
      </c>
      <c r="G141" s="1">
        <v>2025</v>
      </c>
      <c r="H141" s="1" t="s">
        <v>17</v>
      </c>
      <c r="I141" s="1" t="s">
        <v>127</v>
      </c>
      <c r="J141" s="1">
        <f t="shared" si="8"/>
        <v>0</v>
      </c>
      <c r="K141" s="7">
        <v>200000</v>
      </c>
      <c r="L141" s="7">
        <v>0</v>
      </c>
      <c r="M141" s="7">
        <v>200000</v>
      </c>
      <c r="N141" s="9">
        <v>11</v>
      </c>
      <c r="O141" s="9">
        <v>2025</v>
      </c>
      <c r="P141" s="1">
        <v>1</v>
      </c>
      <c r="Q141" s="1" t="s">
        <v>39</v>
      </c>
      <c r="R141" s="1">
        <v>7305</v>
      </c>
      <c r="T141" s="1" t="s">
        <v>36</v>
      </c>
    </row>
    <row r="142" spans="1:21" x14ac:dyDescent="0.25">
      <c r="A142" s="1" t="s">
        <v>397</v>
      </c>
      <c r="B142" s="1">
        <v>13</v>
      </c>
      <c r="C142" s="1" t="s">
        <v>398</v>
      </c>
      <c r="D142" s="1" t="s">
        <v>399</v>
      </c>
      <c r="E142" s="1" t="s">
        <v>26</v>
      </c>
      <c r="F142" s="2">
        <v>45966</v>
      </c>
      <c r="G142" s="1">
        <v>2025</v>
      </c>
      <c r="H142" s="1" t="s">
        <v>17</v>
      </c>
      <c r="I142" s="1" t="s">
        <v>127</v>
      </c>
      <c r="J142" s="1">
        <f t="shared" si="8"/>
        <v>0</v>
      </c>
      <c r="K142" s="7">
        <v>50000</v>
      </c>
      <c r="L142" s="7">
        <v>0</v>
      </c>
      <c r="M142" s="7">
        <v>50000</v>
      </c>
      <c r="N142" s="9">
        <v>11</v>
      </c>
      <c r="O142" s="9">
        <v>2025</v>
      </c>
      <c r="P142" s="1">
        <v>1</v>
      </c>
      <c r="Q142" s="1" t="s">
        <v>39</v>
      </c>
      <c r="R142" s="1" t="s">
        <v>401</v>
      </c>
      <c r="T142" s="1" t="s">
        <v>36</v>
      </c>
    </row>
    <row r="143" spans="1:21" x14ac:dyDescent="0.25">
      <c r="A143" s="1" t="s">
        <v>404</v>
      </c>
      <c r="B143" s="1">
        <v>18</v>
      </c>
      <c r="C143" s="1" t="s">
        <v>406</v>
      </c>
      <c r="D143" s="1" t="s">
        <v>407</v>
      </c>
      <c r="E143" s="1" t="s">
        <v>26</v>
      </c>
      <c r="F143" s="2">
        <v>45966</v>
      </c>
      <c r="G143" s="1">
        <v>2025</v>
      </c>
      <c r="H143" s="1" t="s">
        <v>17</v>
      </c>
      <c r="I143" s="1" t="s">
        <v>127</v>
      </c>
      <c r="J143" s="1">
        <f t="shared" si="8"/>
        <v>0</v>
      </c>
      <c r="K143" s="7">
        <v>5726.5625</v>
      </c>
      <c r="L143" s="7">
        <v>0</v>
      </c>
      <c r="M143" s="7">
        <f>K143-L143</f>
        <v>5726.5625</v>
      </c>
      <c r="N143" s="9">
        <v>11</v>
      </c>
      <c r="O143" s="9">
        <v>2025</v>
      </c>
      <c r="P143" s="1">
        <v>1</v>
      </c>
      <c r="Q143" s="1" t="s">
        <v>33</v>
      </c>
      <c r="S143" s="1">
        <v>6820</v>
      </c>
      <c r="T143" s="1" t="s">
        <v>36</v>
      </c>
      <c r="U143" s="1" t="s">
        <v>374</v>
      </c>
    </row>
    <row r="144" spans="1:21" x14ac:dyDescent="0.25">
      <c r="A144" s="1" t="s">
        <v>403</v>
      </c>
      <c r="B144" s="1">
        <v>5</v>
      </c>
      <c r="C144" s="1" t="s">
        <v>387</v>
      </c>
      <c r="D144" s="1" t="s">
        <v>339</v>
      </c>
      <c r="E144" s="1" t="s">
        <v>26</v>
      </c>
      <c r="F144" s="2">
        <v>45966</v>
      </c>
      <c r="G144" s="1">
        <v>2025</v>
      </c>
      <c r="H144" s="1" t="s">
        <v>17</v>
      </c>
      <c r="I144" s="1" t="s">
        <v>127</v>
      </c>
      <c r="J144" s="1">
        <f t="shared" si="8"/>
        <v>0</v>
      </c>
      <c r="K144" s="7">
        <v>250000</v>
      </c>
      <c r="L144" s="7">
        <v>0</v>
      </c>
      <c r="M144" s="7">
        <f>K144-L144</f>
        <v>250000</v>
      </c>
      <c r="N144" s="9">
        <v>11</v>
      </c>
      <c r="O144" s="9">
        <v>2025</v>
      </c>
      <c r="P144" s="1">
        <v>1</v>
      </c>
      <c r="Q144" s="1" t="s">
        <v>84</v>
      </c>
      <c r="R144" s="1">
        <v>3906</v>
      </c>
      <c r="T144" s="1" t="s">
        <v>36</v>
      </c>
      <c r="U144" s="1" t="s">
        <v>162</v>
      </c>
    </row>
    <row r="145" spans="1:21" x14ac:dyDescent="0.25">
      <c r="A145" s="1" t="s">
        <v>400</v>
      </c>
      <c r="B145" s="1">
        <v>9</v>
      </c>
      <c r="C145" s="1" t="s">
        <v>402</v>
      </c>
      <c r="D145" s="1" t="s">
        <v>346</v>
      </c>
      <c r="E145" s="1" t="s">
        <v>26</v>
      </c>
      <c r="F145" s="2">
        <v>45966</v>
      </c>
      <c r="G145" s="1">
        <v>2025</v>
      </c>
      <c r="H145" s="1" t="s">
        <v>17</v>
      </c>
      <c r="I145" s="1" t="s">
        <v>127</v>
      </c>
      <c r="J145" s="1">
        <f t="shared" si="8"/>
        <v>0</v>
      </c>
      <c r="K145" s="7">
        <v>100000</v>
      </c>
      <c r="L145" s="7">
        <v>0</v>
      </c>
      <c r="M145" s="7">
        <v>100000</v>
      </c>
      <c r="N145" s="9">
        <v>11</v>
      </c>
      <c r="O145" s="9">
        <v>2025</v>
      </c>
      <c r="P145" s="1">
        <v>1</v>
      </c>
      <c r="Q145" s="1" t="s">
        <v>84</v>
      </c>
      <c r="T145" s="1" t="s">
        <v>36</v>
      </c>
    </row>
    <row r="146" spans="1:21" x14ac:dyDescent="0.25">
      <c r="A146" s="1" t="s">
        <v>393</v>
      </c>
      <c r="B146" s="1">
        <v>19</v>
      </c>
      <c r="C146" s="1" t="s">
        <v>338</v>
      </c>
      <c r="D146" s="1" t="s">
        <v>339</v>
      </c>
      <c r="E146" s="1" t="s">
        <v>26</v>
      </c>
      <c r="F146" s="2">
        <v>45962</v>
      </c>
      <c r="G146" s="1">
        <v>2025</v>
      </c>
      <c r="H146" s="1" t="s">
        <v>16</v>
      </c>
      <c r="I146" s="1" t="s">
        <v>127</v>
      </c>
      <c r="J146" s="1">
        <f t="shared" si="8"/>
        <v>0</v>
      </c>
      <c r="K146" s="7">
        <v>150000</v>
      </c>
      <c r="L146" s="7">
        <f>J146*1000</f>
        <v>0</v>
      </c>
      <c r="M146" s="7">
        <f t="shared" ref="M146:M209" si="11">K146-L146</f>
        <v>150000</v>
      </c>
      <c r="N146" s="9">
        <v>12</v>
      </c>
      <c r="O146" s="9">
        <v>2025</v>
      </c>
      <c r="P146" s="1">
        <v>1</v>
      </c>
      <c r="Q146" s="1" t="s">
        <v>33</v>
      </c>
      <c r="R146" s="1">
        <v>23335</v>
      </c>
      <c r="S146" s="1">
        <v>6852</v>
      </c>
      <c r="T146" s="1" t="s">
        <v>36</v>
      </c>
    </row>
    <row r="147" spans="1:21" x14ac:dyDescent="0.25">
      <c r="A147" s="1" t="s">
        <v>392</v>
      </c>
      <c r="B147" s="1">
        <v>15</v>
      </c>
      <c r="C147" s="1" t="s">
        <v>394</v>
      </c>
      <c r="D147" s="1" t="s">
        <v>395</v>
      </c>
      <c r="E147" s="1" t="s">
        <v>26</v>
      </c>
      <c r="F147" s="2">
        <v>45962</v>
      </c>
      <c r="G147" s="1">
        <v>2025</v>
      </c>
      <c r="H147" s="1" t="s">
        <v>17</v>
      </c>
      <c r="I147" s="1" t="s">
        <v>127</v>
      </c>
      <c r="J147" s="1">
        <f t="shared" si="8"/>
        <v>0</v>
      </c>
      <c r="K147" s="7">
        <v>298000</v>
      </c>
      <c r="L147" s="7">
        <v>0</v>
      </c>
      <c r="M147" s="7">
        <f t="shared" si="11"/>
        <v>298000</v>
      </c>
      <c r="N147" s="9">
        <v>11</v>
      </c>
      <c r="O147" s="9">
        <v>2025</v>
      </c>
      <c r="P147" s="1">
        <v>1</v>
      </c>
      <c r="Q147" s="1" t="s">
        <v>39</v>
      </c>
      <c r="R147" s="1" t="s">
        <v>396</v>
      </c>
      <c r="T147" s="1" t="s">
        <v>36</v>
      </c>
      <c r="U147" s="1" t="s">
        <v>295</v>
      </c>
    </row>
    <row r="148" spans="1:21" x14ac:dyDescent="0.25">
      <c r="A148" s="1" t="s">
        <v>391</v>
      </c>
      <c r="B148" s="1">
        <v>1</v>
      </c>
      <c r="C148" s="1" t="s">
        <v>527</v>
      </c>
      <c r="D148" s="1" t="s">
        <v>346</v>
      </c>
      <c r="E148" s="1" t="s">
        <v>26</v>
      </c>
      <c r="F148" s="2">
        <v>45962</v>
      </c>
      <c r="G148" s="1">
        <v>2025</v>
      </c>
      <c r="H148" s="1" t="s">
        <v>17</v>
      </c>
      <c r="I148" s="1" t="s">
        <v>127</v>
      </c>
      <c r="J148" s="1">
        <f t="shared" si="8"/>
        <v>0</v>
      </c>
      <c r="K148" s="7">
        <v>100000</v>
      </c>
      <c r="L148" s="7">
        <v>0</v>
      </c>
      <c r="M148" s="7">
        <f t="shared" si="11"/>
        <v>100000</v>
      </c>
      <c r="N148" s="9">
        <v>11</v>
      </c>
      <c r="O148" s="9">
        <v>2025</v>
      </c>
      <c r="P148" s="1">
        <v>1</v>
      </c>
      <c r="Q148" s="1" t="s">
        <v>39</v>
      </c>
      <c r="S148" s="1">
        <v>9763</v>
      </c>
      <c r="T148" s="1" t="s">
        <v>36</v>
      </c>
    </row>
    <row r="149" spans="1:21" x14ac:dyDescent="0.25">
      <c r="A149" s="1" t="s">
        <v>380</v>
      </c>
      <c r="B149" s="1">
        <v>14</v>
      </c>
      <c r="C149" s="1" t="s">
        <v>523</v>
      </c>
      <c r="D149" s="1" t="s">
        <v>339</v>
      </c>
      <c r="E149" s="1" t="s">
        <v>26</v>
      </c>
      <c r="F149" s="2">
        <v>45957</v>
      </c>
      <c r="G149" s="1">
        <v>2025</v>
      </c>
      <c r="H149" s="1" t="s">
        <v>14</v>
      </c>
      <c r="I149" s="1" t="s">
        <v>127</v>
      </c>
      <c r="J149" s="1">
        <f t="shared" si="8"/>
        <v>0</v>
      </c>
      <c r="K149" s="7">
        <v>40000</v>
      </c>
      <c r="L149" s="7">
        <f>J149*1000</f>
        <v>0</v>
      </c>
      <c r="M149" s="7">
        <f t="shared" si="11"/>
        <v>40000</v>
      </c>
      <c r="N149" s="9">
        <v>10</v>
      </c>
      <c r="O149" s="9">
        <v>2025</v>
      </c>
      <c r="P149" s="1">
        <v>1</v>
      </c>
      <c r="Q149" s="1" t="s">
        <v>33</v>
      </c>
      <c r="R149" s="1">
        <v>66888387</v>
      </c>
      <c r="S149" s="1">
        <v>3315</v>
      </c>
      <c r="T149" s="1" t="s">
        <v>36</v>
      </c>
      <c r="U149" s="1" t="s">
        <v>388</v>
      </c>
    </row>
    <row r="150" spans="1:21" x14ac:dyDescent="0.25">
      <c r="A150" s="1" t="s">
        <v>383</v>
      </c>
      <c r="B150" s="1">
        <v>14</v>
      </c>
      <c r="C150" s="1" t="s">
        <v>523</v>
      </c>
      <c r="D150" s="1" t="s">
        <v>339</v>
      </c>
      <c r="E150" s="1" t="s">
        <v>26</v>
      </c>
      <c r="F150" s="2">
        <v>45957</v>
      </c>
      <c r="G150" s="1">
        <v>2025</v>
      </c>
      <c r="H150" s="1" t="s">
        <v>17</v>
      </c>
      <c r="I150" s="1" t="s">
        <v>127</v>
      </c>
      <c r="J150" s="1">
        <f t="shared" si="8"/>
        <v>0</v>
      </c>
      <c r="K150" s="7">
        <v>20000</v>
      </c>
      <c r="L150" s="7">
        <f>J150*1000</f>
        <v>0</v>
      </c>
      <c r="M150" s="7">
        <f t="shared" si="11"/>
        <v>20000</v>
      </c>
      <c r="N150" s="9">
        <v>11</v>
      </c>
      <c r="O150" s="9">
        <v>2025</v>
      </c>
      <c r="P150" s="1">
        <v>1</v>
      </c>
      <c r="Q150" s="1" t="s">
        <v>33</v>
      </c>
      <c r="R150" s="1">
        <v>66888387</v>
      </c>
      <c r="S150" s="1">
        <v>3315</v>
      </c>
      <c r="T150" s="1" t="s">
        <v>36</v>
      </c>
      <c r="U150" s="1" t="s">
        <v>389</v>
      </c>
    </row>
    <row r="151" spans="1:21" x14ac:dyDescent="0.25">
      <c r="A151" s="1" t="s">
        <v>384</v>
      </c>
      <c r="B151" s="1">
        <v>14</v>
      </c>
      <c r="C151" s="1" t="s">
        <v>523</v>
      </c>
      <c r="D151" s="1" t="s">
        <v>339</v>
      </c>
      <c r="E151" s="1" t="s">
        <v>26</v>
      </c>
      <c r="F151" s="2">
        <v>45957</v>
      </c>
      <c r="G151" s="1">
        <v>2025</v>
      </c>
      <c r="H151" s="1" t="s">
        <v>16</v>
      </c>
      <c r="I151" s="1" t="s">
        <v>127</v>
      </c>
      <c r="J151" s="1">
        <f t="shared" si="8"/>
        <v>0</v>
      </c>
      <c r="K151" s="7">
        <v>20000</v>
      </c>
      <c r="L151" s="7">
        <f>J151*1000</f>
        <v>0</v>
      </c>
      <c r="M151" s="7">
        <f t="shared" si="11"/>
        <v>20000</v>
      </c>
      <c r="N151" s="9">
        <v>12</v>
      </c>
      <c r="O151" s="9">
        <v>2025</v>
      </c>
      <c r="P151" s="1">
        <v>1</v>
      </c>
      <c r="Q151" s="1" t="s">
        <v>33</v>
      </c>
      <c r="R151" s="1">
        <v>66888387</v>
      </c>
      <c r="S151" s="1">
        <v>3315</v>
      </c>
      <c r="T151" s="1" t="s">
        <v>36</v>
      </c>
      <c r="U151" s="1" t="s">
        <v>389</v>
      </c>
    </row>
    <row r="152" spans="1:21" x14ac:dyDescent="0.25">
      <c r="A152" s="1" t="s">
        <v>385</v>
      </c>
      <c r="B152" s="1">
        <v>17</v>
      </c>
      <c r="C152" s="1" t="s">
        <v>402</v>
      </c>
      <c r="D152" s="1" t="s">
        <v>524</v>
      </c>
      <c r="E152" s="1" t="s">
        <v>26</v>
      </c>
      <c r="F152" s="2">
        <v>45957</v>
      </c>
      <c r="G152" s="1">
        <v>2025</v>
      </c>
      <c r="H152" s="1" t="s">
        <v>14</v>
      </c>
      <c r="I152" s="1" t="s">
        <v>127</v>
      </c>
      <c r="J152" s="1">
        <f t="shared" si="8"/>
        <v>0</v>
      </c>
      <c r="K152" s="7">
        <v>45000</v>
      </c>
      <c r="L152" s="7">
        <f>J152*1000</f>
        <v>0</v>
      </c>
      <c r="M152" s="7">
        <f t="shared" si="11"/>
        <v>45000</v>
      </c>
      <c r="N152" s="9">
        <v>10</v>
      </c>
      <c r="O152" s="9">
        <v>2025</v>
      </c>
      <c r="P152" s="1">
        <v>1</v>
      </c>
      <c r="Q152" s="1" t="s">
        <v>33</v>
      </c>
      <c r="R152" s="1">
        <v>66888387</v>
      </c>
      <c r="S152" s="1">
        <v>3315</v>
      </c>
      <c r="T152" s="1" t="s">
        <v>36</v>
      </c>
      <c r="U152" s="1" t="s">
        <v>388</v>
      </c>
    </row>
    <row r="153" spans="1:21" x14ac:dyDescent="0.25">
      <c r="A153" s="1" t="s">
        <v>386</v>
      </c>
      <c r="B153" s="1">
        <v>17</v>
      </c>
      <c r="C153" s="1" t="s">
        <v>402</v>
      </c>
      <c r="D153" s="1" t="s">
        <v>524</v>
      </c>
      <c r="E153" s="1" t="s">
        <v>26</v>
      </c>
      <c r="F153" s="2">
        <v>45957</v>
      </c>
      <c r="G153" s="1">
        <v>2025</v>
      </c>
      <c r="H153" s="1" t="s">
        <v>17</v>
      </c>
      <c r="I153" s="1" t="s">
        <v>127</v>
      </c>
      <c r="J153" s="1">
        <f t="shared" si="8"/>
        <v>0</v>
      </c>
      <c r="K153" s="7">
        <v>20000</v>
      </c>
      <c r="L153" s="7">
        <v>0</v>
      </c>
      <c r="M153" s="7">
        <f t="shared" si="11"/>
        <v>20000</v>
      </c>
      <c r="N153" s="9">
        <v>11</v>
      </c>
      <c r="O153" s="9">
        <v>2025</v>
      </c>
      <c r="P153" s="1">
        <v>1</v>
      </c>
      <c r="Q153" s="1" t="s">
        <v>33</v>
      </c>
      <c r="R153" s="1">
        <v>66888387</v>
      </c>
      <c r="S153" s="1">
        <v>3315</v>
      </c>
      <c r="T153" s="1" t="s">
        <v>36</v>
      </c>
      <c r="U153" s="1" t="s">
        <v>389</v>
      </c>
    </row>
    <row r="154" spans="1:21" x14ac:dyDescent="0.25">
      <c r="A154" s="1" t="s">
        <v>390</v>
      </c>
      <c r="B154" s="1">
        <v>17</v>
      </c>
      <c r="C154" s="1" t="s">
        <v>402</v>
      </c>
      <c r="D154" s="1" t="s">
        <v>524</v>
      </c>
      <c r="E154" s="1" t="s">
        <v>26</v>
      </c>
      <c r="F154" s="2">
        <v>45957</v>
      </c>
      <c r="G154" s="1">
        <v>2025</v>
      </c>
      <c r="H154" s="1" t="s">
        <v>16</v>
      </c>
      <c r="I154" s="1" t="s">
        <v>127</v>
      </c>
      <c r="J154" s="1">
        <f t="shared" si="8"/>
        <v>0</v>
      </c>
      <c r="K154" s="7">
        <v>20000</v>
      </c>
      <c r="L154" s="7">
        <v>0</v>
      </c>
      <c r="M154" s="7">
        <f t="shared" si="11"/>
        <v>20000</v>
      </c>
      <c r="N154" s="9">
        <v>12</v>
      </c>
      <c r="O154" s="9">
        <v>2025</v>
      </c>
      <c r="P154" s="1">
        <v>1</v>
      </c>
      <c r="Q154" s="1" t="s">
        <v>33</v>
      </c>
      <c r="R154" s="1">
        <v>66888387</v>
      </c>
      <c r="S154" s="1">
        <v>3315</v>
      </c>
      <c r="T154" s="1" t="s">
        <v>36</v>
      </c>
      <c r="U154" s="1" t="s">
        <v>389</v>
      </c>
    </row>
    <row r="155" spans="1:21" x14ac:dyDescent="0.25">
      <c r="A155" s="1" t="s">
        <v>379</v>
      </c>
      <c r="B155" s="1">
        <v>5</v>
      </c>
      <c r="C155" s="1" t="s">
        <v>387</v>
      </c>
      <c r="D155" s="1" t="s">
        <v>339</v>
      </c>
      <c r="E155" s="1" t="s">
        <v>26</v>
      </c>
      <c r="F155" s="2">
        <v>45952</v>
      </c>
      <c r="G155" s="1">
        <v>2025</v>
      </c>
      <c r="H155" s="1" t="s">
        <v>17</v>
      </c>
      <c r="I155" s="1" t="s">
        <v>127</v>
      </c>
      <c r="J155" s="1">
        <f t="shared" si="8"/>
        <v>0</v>
      </c>
      <c r="K155" s="7">
        <v>250000</v>
      </c>
      <c r="L155" s="7">
        <v>0</v>
      </c>
      <c r="M155" s="7">
        <f t="shared" si="11"/>
        <v>250000</v>
      </c>
      <c r="N155" s="9">
        <v>11</v>
      </c>
      <c r="O155" s="9">
        <v>2025</v>
      </c>
      <c r="P155" s="1">
        <v>1</v>
      </c>
      <c r="Q155" s="1" t="s">
        <v>84</v>
      </c>
      <c r="R155" s="1">
        <v>70539</v>
      </c>
      <c r="T155" s="1" t="s">
        <v>36</v>
      </c>
      <c r="U155" s="1" t="s">
        <v>162</v>
      </c>
    </row>
    <row r="156" spans="1:21" x14ac:dyDescent="0.25">
      <c r="A156" s="1" t="s">
        <v>378</v>
      </c>
      <c r="B156" s="1">
        <v>19</v>
      </c>
      <c r="C156" s="1" t="s">
        <v>338</v>
      </c>
      <c r="D156" s="1" t="s">
        <v>339</v>
      </c>
      <c r="E156" s="1" t="s">
        <v>26</v>
      </c>
      <c r="F156" s="2">
        <v>45950</v>
      </c>
      <c r="G156" s="1">
        <v>2025</v>
      </c>
      <c r="H156" s="1" t="s">
        <v>17</v>
      </c>
      <c r="I156" s="1" t="s">
        <v>127</v>
      </c>
      <c r="J156" s="1">
        <f t="shared" si="8"/>
        <v>0</v>
      </c>
      <c r="K156" s="7">
        <v>1500000</v>
      </c>
      <c r="L156" s="7">
        <f>J156*1000</f>
        <v>0</v>
      </c>
      <c r="M156" s="7">
        <f t="shared" si="11"/>
        <v>1500000</v>
      </c>
      <c r="N156" s="9">
        <v>11</v>
      </c>
      <c r="O156" s="9">
        <v>2025</v>
      </c>
      <c r="P156" s="1">
        <v>1</v>
      </c>
      <c r="Q156" s="1" t="s">
        <v>33</v>
      </c>
      <c r="R156" s="1">
        <v>50885</v>
      </c>
      <c r="S156" s="1">
        <v>6852</v>
      </c>
      <c r="T156" s="1" t="s">
        <v>36</v>
      </c>
    </row>
    <row r="157" spans="1:21" x14ac:dyDescent="0.25">
      <c r="A157" s="1" t="s">
        <v>377</v>
      </c>
      <c r="B157" s="1">
        <v>4</v>
      </c>
      <c r="C157" s="1" t="s">
        <v>525</v>
      </c>
      <c r="D157" s="1" t="s">
        <v>526</v>
      </c>
      <c r="E157" s="1" t="s">
        <v>26</v>
      </c>
      <c r="F157" s="2">
        <v>45944</v>
      </c>
      <c r="G157" s="1">
        <v>2025</v>
      </c>
      <c r="H157" s="1" t="s">
        <v>14</v>
      </c>
      <c r="I157" s="1" t="s">
        <v>127</v>
      </c>
      <c r="J157" s="1">
        <f t="shared" si="8"/>
        <v>0</v>
      </c>
      <c r="K157" s="7">
        <v>104000</v>
      </c>
      <c r="L157" s="7">
        <f>J157*1000</f>
        <v>0</v>
      </c>
      <c r="M157" s="7">
        <f t="shared" si="11"/>
        <v>104000</v>
      </c>
      <c r="N157" s="9">
        <v>10</v>
      </c>
      <c r="O157" s="9">
        <v>2025</v>
      </c>
      <c r="P157" s="1">
        <v>1</v>
      </c>
      <c r="Q157" s="1" t="s">
        <v>39</v>
      </c>
      <c r="R157" s="1" t="s">
        <v>382</v>
      </c>
      <c r="T157" s="1" t="s">
        <v>36</v>
      </c>
      <c r="U157" s="1" t="s">
        <v>426</v>
      </c>
    </row>
    <row r="158" spans="1:21" x14ac:dyDescent="0.25">
      <c r="A158" s="1" t="s">
        <v>376</v>
      </c>
      <c r="B158" s="1">
        <v>3</v>
      </c>
      <c r="C158" s="1" t="s">
        <v>472</v>
      </c>
      <c r="D158" s="1" t="s">
        <v>410</v>
      </c>
      <c r="E158" s="1" t="s">
        <v>26</v>
      </c>
      <c r="F158" s="2">
        <v>45944</v>
      </c>
      <c r="G158" s="1">
        <v>2025</v>
      </c>
      <c r="H158" s="1" t="s">
        <v>17</v>
      </c>
      <c r="I158" s="1" t="s">
        <v>127</v>
      </c>
      <c r="J158" s="1">
        <f t="shared" si="8"/>
        <v>0</v>
      </c>
      <c r="K158" s="7">
        <v>40000</v>
      </c>
      <c r="L158" s="7">
        <v>0</v>
      </c>
      <c r="M158" s="7">
        <f t="shared" si="11"/>
        <v>40000</v>
      </c>
      <c r="N158" s="9">
        <v>11</v>
      </c>
      <c r="O158" s="9">
        <v>2025</v>
      </c>
      <c r="P158" s="1">
        <v>1</v>
      </c>
      <c r="Q158" s="1" t="s">
        <v>90</v>
      </c>
      <c r="R158" s="1">
        <v>8474</v>
      </c>
      <c r="S158" s="1">
        <v>2014</v>
      </c>
      <c r="T158" s="1" t="s">
        <v>36</v>
      </c>
    </row>
    <row r="159" spans="1:21" x14ac:dyDescent="0.25">
      <c r="A159" s="1" t="s">
        <v>366</v>
      </c>
      <c r="B159" s="1">
        <v>6</v>
      </c>
      <c r="C159" s="1" t="s">
        <v>415</v>
      </c>
      <c r="D159" s="1" t="s">
        <v>416</v>
      </c>
      <c r="E159" s="1" t="s">
        <v>26</v>
      </c>
      <c r="F159" s="2">
        <v>45938</v>
      </c>
      <c r="G159" s="1">
        <v>2025</v>
      </c>
      <c r="H159" s="1" t="s">
        <v>14</v>
      </c>
      <c r="I159" s="1" t="s">
        <v>127</v>
      </c>
      <c r="J159" s="1">
        <f t="shared" si="8"/>
        <v>0</v>
      </c>
      <c r="K159" s="7">
        <v>20000</v>
      </c>
      <c r="L159" s="7">
        <v>0</v>
      </c>
      <c r="M159" s="7">
        <f t="shared" si="11"/>
        <v>20000</v>
      </c>
      <c r="N159" s="9">
        <v>10</v>
      </c>
      <c r="O159" s="9">
        <v>2025</v>
      </c>
      <c r="P159" s="1">
        <v>1</v>
      </c>
      <c r="Q159" s="10" t="s">
        <v>80</v>
      </c>
      <c r="R159" s="1">
        <v>16666203</v>
      </c>
      <c r="S159" s="1">
        <v>8600</v>
      </c>
      <c r="T159" s="1" t="s">
        <v>36</v>
      </c>
    </row>
    <row r="160" spans="1:21" x14ac:dyDescent="0.25">
      <c r="A160" s="1" t="s">
        <v>367</v>
      </c>
      <c r="B160" s="1">
        <v>11</v>
      </c>
      <c r="C160" s="1" t="s">
        <v>417</v>
      </c>
      <c r="D160" s="1" t="s">
        <v>410</v>
      </c>
      <c r="E160" s="1" t="s">
        <v>26</v>
      </c>
      <c r="F160" s="2">
        <v>45938</v>
      </c>
      <c r="G160" s="1">
        <v>2025</v>
      </c>
      <c r="H160" s="1" t="s">
        <v>14</v>
      </c>
      <c r="I160" s="1" t="s">
        <v>127</v>
      </c>
      <c r="J160" s="1">
        <f t="shared" si="8"/>
        <v>0</v>
      </c>
      <c r="K160" s="7">
        <v>20000</v>
      </c>
      <c r="L160" s="7">
        <f>1000*J160</f>
        <v>0</v>
      </c>
      <c r="M160" s="7">
        <f t="shared" si="11"/>
        <v>20000</v>
      </c>
      <c r="N160" s="9">
        <v>10</v>
      </c>
      <c r="O160" s="9">
        <v>2025</v>
      </c>
      <c r="P160" s="1">
        <v>1</v>
      </c>
      <c r="Q160" s="10" t="s">
        <v>80</v>
      </c>
      <c r="R160" s="1">
        <v>16666220</v>
      </c>
      <c r="S160" s="1">
        <v>8600</v>
      </c>
      <c r="T160" s="1" t="s">
        <v>36</v>
      </c>
    </row>
    <row r="161" spans="1:21" x14ac:dyDescent="0.25">
      <c r="A161" s="1" t="s">
        <v>363</v>
      </c>
      <c r="B161" s="1">
        <v>10</v>
      </c>
      <c r="C161" s="1" t="s">
        <v>345</v>
      </c>
      <c r="D161" s="1" t="s">
        <v>346</v>
      </c>
      <c r="E161" s="1" t="s">
        <v>26</v>
      </c>
      <c r="F161" s="2">
        <v>45938</v>
      </c>
      <c r="G161" s="1">
        <v>2025</v>
      </c>
      <c r="H161" s="1" t="s">
        <v>14</v>
      </c>
      <c r="I161" s="1" t="s">
        <v>127</v>
      </c>
      <c r="J161" s="1">
        <f t="shared" si="8"/>
        <v>0</v>
      </c>
      <c r="K161" s="7">
        <v>50000</v>
      </c>
      <c r="L161" s="7">
        <v>0</v>
      </c>
      <c r="M161" s="7">
        <f t="shared" si="11"/>
        <v>50000</v>
      </c>
      <c r="N161" s="9">
        <v>10</v>
      </c>
      <c r="O161" s="9">
        <v>2025</v>
      </c>
      <c r="P161" s="1">
        <v>1</v>
      </c>
      <c r="Q161" s="1" t="s">
        <v>84</v>
      </c>
      <c r="T161" s="1" t="s">
        <v>36</v>
      </c>
    </row>
    <row r="162" spans="1:21" x14ac:dyDescent="0.25">
      <c r="A162" s="1" t="s">
        <v>364</v>
      </c>
      <c r="B162" s="1">
        <v>10</v>
      </c>
      <c r="C162" s="1" t="s">
        <v>345</v>
      </c>
      <c r="D162" s="1" t="s">
        <v>346</v>
      </c>
      <c r="E162" s="1" t="s">
        <v>26</v>
      </c>
      <c r="F162" s="2">
        <v>45938</v>
      </c>
      <c r="G162" s="1">
        <v>2025</v>
      </c>
      <c r="H162" s="1" t="s">
        <v>14</v>
      </c>
      <c r="I162" s="1" t="s">
        <v>127</v>
      </c>
      <c r="J162" s="1">
        <f t="shared" si="8"/>
        <v>0</v>
      </c>
      <c r="K162" s="7">
        <v>1444.9577500000596</v>
      </c>
      <c r="L162" s="7">
        <v>0</v>
      </c>
      <c r="M162" s="7">
        <f t="shared" si="11"/>
        <v>1444.9577500000596</v>
      </c>
      <c r="N162" s="9">
        <v>10</v>
      </c>
      <c r="O162" s="9">
        <v>2025</v>
      </c>
      <c r="P162" s="1">
        <v>1</v>
      </c>
      <c r="Q162" s="1" t="s">
        <v>84</v>
      </c>
      <c r="T162" s="1" t="s">
        <v>36</v>
      </c>
      <c r="U162" s="1" t="s">
        <v>583</v>
      </c>
    </row>
    <row r="163" spans="1:21" x14ac:dyDescent="0.25">
      <c r="A163" s="1" t="s">
        <v>369</v>
      </c>
      <c r="B163" s="1">
        <v>7</v>
      </c>
      <c r="C163" s="1" t="s">
        <v>514</v>
      </c>
      <c r="D163" s="1" t="s">
        <v>515</v>
      </c>
      <c r="E163" s="1" t="s">
        <v>26</v>
      </c>
      <c r="F163" s="2">
        <v>45938</v>
      </c>
      <c r="G163" s="1">
        <v>2025</v>
      </c>
      <c r="H163" s="1" t="s">
        <v>14</v>
      </c>
      <c r="I163" s="1" t="s">
        <v>127</v>
      </c>
      <c r="J163" s="1">
        <f t="shared" si="8"/>
        <v>0</v>
      </c>
      <c r="K163" s="7">
        <v>50000</v>
      </c>
      <c r="L163" s="7">
        <v>0</v>
      </c>
      <c r="M163" s="7">
        <f t="shared" si="11"/>
        <v>50000</v>
      </c>
      <c r="N163" s="9">
        <v>10</v>
      </c>
      <c r="O163" s="9">
        <v>2025</v>
      </c>
      <c r="P163" s="1">
        <v>1</v>
      </c>
      <c r="Q163" s="10" t="s">
        <v>80</v>
      </c>
      <c r="R163" s="1">
        <v>16666287</v>
      </c>
      <c r="S163" s="1">
        <v>9030</v>
      </c>
      <c r="T163" s="1" t="s">
        <v>36</v>
      </c>
    </row>
    <row r="164" spans="1:21" x14ac:dyDescent="0.25">
      <c r="A164" s="1" t="s">
        <v>368</v>
      </c>
      <c r="B164" s="1">
        <v>2</v>
      </c>
      <c r="C164" s="1" t="s">
        <v>414</v>
      </c>
      <c r="D164" s="1" t="s">
        <v>410</v>
      </c>
      <c r="E164" s="1" t="s">
        <v>26</v>
      </c>
      <c r="F164" s="2">
        <v>45938</v>
      </c>
      <c r="G164" s="1">
        <v>2025</v>
      </c>
      <c r="H164" s="1" t="s">
        <v>14</v>
      </c>
      <c r="I164" s="1" t="s">
        <v>127</v>
      </c>
      <c r="J164" s="1">
        <f t="shared" si="8"/>
        <v>0</v>
      </c>
      <c r="K164" s="7">
        <v>50000</v>
      </c>
      <c r="L164" s="7">
        <v>0</v>
      </c>
      <c r="M164" s="7">
        <f t="shared" si="11"/>
        <v>50000</v>
      </c>
      <c r="N164" s="9">
        <v>10</v>
      </c>
      <c r="O164" s="9">
        <v>2025</v>
      </c>
      <c r="P164" s="1">
        <v>1</v>
      </c>
      <c r="Q164" s="10" t="s">
        <v>80</v>
      </c>
      <c r="R164" s="1">
        <v>16666236</v>
      </c>
      <c r="S164" s="1">
        <v>8600</v>
      </c>
      <c r="T164" s="1" t="s">
        <v>36</v>
      </c>
    </row>
    <row r="165" spans="1:21" x14ac:dyDescent="0.25">
      <c r="A165" s="1" t="s">
        <v>370</v>
      </c>
      <c r="B165" s="1">
        <v>16</v>
      </c>
      <c r="C165" s="1" t="s">
        <v>422</v>
      </c>
      <c r="D165" s="1" t="s">
        <v>407</v>
      </c>
      <c r="E165" s="1" t="s">
        <v>26</v>
      </c>
      <c r="F165" s="2">
        <v>45938</v>
      </c>
      <c r="G165" s="1">
        <v>2025</v>
      </c>
      <c r="H165" s="1" t="s">
        <v>14</v>
      </c>
      <c r="I165" s="1" t="s">
        <v>127</v>
      </c>
      <c r="J165" s="1">
        <f t="shared" si="8"/>
        <v>0</v>
      </c>
      <c r="K165" s="7">
        <v>50000</v>
      </c>
      <c r="L165" s="7">
        <v>0</v>
      </c>
      <c r="M165" s="7">
        <f t="shared" si="11"/>
        <v>50000</v>
      </c>
      <c r="N165" s="9">
        <v>10</v>
      </c>
      <c r="O165" s="9">
        <v>2025</v>
      </c>
      <c r="P165" s="1">
        <v>1</v>
      </c>
      <c r="Q165" s="1" t="s">
        <v>84</v>
      </c>
      <c r="R165" s="1">
        <v>6073</v>
      </c>
      <c r="S165" s="1">
        <v>2097</v>
      </c>
      <c r="T165" s="1" t="s">
        <v>36</v>
      </c>
    </row>
    <row r="166" spans="1:21" x14ac:dyDescent="0.25">
      <c r="A166" s="1" t="s">
        <v>371</v>
      </c>
      <c r="B166" s="1">
        <v>16</v>
      </c>
      <c r="C166" s="1" t="s">
        <v>422</v>
      </c>
      <c r="D166" s="1" t="s">
        <v>407</v>
      </c>
      <c r="E166" s="1" t="s">
        <v>26</v>
      </c>
      <c r="F166" s="2">
        <v>45938</v>
      </c>
      <c r="G166" s="1">
        <v>2025</v>
      </c>
      <c r="H166" s="1" t="s">
        <v>17</v>
      </c>
      <c r="I166" s="1" t="s">
        <v>127</v>
      </c>
      <c r="J166" s="1">
        <f t="shared" si="8"/>
        <v>0</v>
      </c>
      <c r="K166" s="7">
        <v>50000</v>
      </c>
      <c r="L166" s="7">
        <v>0</v>
      </c>
      <c r="M166" s="7">
        <f t="shared" si="11"/>
        <v>50000</v>
      </c>
      <c r="N166" s="9">
        <v>11</v>
      </c>
      <c r="O166" s="9">
        <v>2025</v>
      </c>
      <c r="P166" s="1">
        <v>1</v>
      </c>
      <c r="Q166" s="1" t="s">
        <v>84</v>
      </c>
      <c r="R166" s="1">
        <v>6073</v>
      </c>
      <c r="S166" s="1">
        <v>2097</v>
      </c>
      <c r="T166" s="1" t="s">
        <v>36</v>
      </c>
    </row>
    <row r="167" spans="1:21" x14ac:dyDescent="0.25">
      <c r="A167" s="1" t="s">
        <v>365</v>
      </c>
      <c r="B167" s="1">
        <v>9</v>
      </c>
      <c r="C167" s="1" t="s">
        <v>402</v>
      </c>
      <c r="D167" s="1" t="s">
        <v>346</v>
      </c>
      <c r="E167" s="1" t="s">
        <v>26</v>
      </c>
      <c r="F167" s="2">
        <v>45938</v>
      </c>
      <c r="G167" s="1">
        <v>2025</v>
      </c>
      <c r="H167" s="1" t="s">
        <v>14</v>
      </c>
      <c r="I167" s="1" t="s">
        <v>127</v>
      </c>
      <c r="J167" s="1">
        <f t="shared" si="8"/>
        <v>0</v>
      </c>
      <c r="K167" s="7">
        <v>100000</v>
      </c>
      <c r="L167" s="7">
        <v>0</v>
      </c>
      <c r="M167" s="7">
        <f t="shared" si="11"/>
        <v>100000</v>
      </c>
      <c r="N167" s="9">
        <v>10</v>
      </c>
      <c r="O167" s="9">
        <v>2025</v>
      </c>
      <c r="P167" s="1">
        <v>1</v>
      </c>
      <c r="Q167" s="1" t="s">
        <v>84</v>
      </c>
      <c r="T167" s="1" t="s">
        <v>36</v>
      </c>
    </row>
    <row r="168" spans="1:21" x14ac:dyDescent="0.25">
      <c r="A168" s="1" t="s">
        <v>375</v>
      </c>
      <c r="B168" s="1">
        <v>1</v>
      </c>
      <c r="C168" s="1" t="s">
        <v>527</v>
      </c>
      <c r="D168" s="1" t="s">
        <v>346</v>
      </c>
      <c r="E168" s="1" t="s">
        <v>26</v>
      </c>
      <c r="F168" s="2">
        <v>45938</v>
      </c>
      <c r="G168" s="1">
        <v>2025</v>
      </c>
      <c r="H168" s="1" t="s">
        <v>14</v>
      </c>
      <c r="I168" s="1" t="s">
        <v>127</v>
      </c>
      <c r="J168" s="1">
        <f t="shared" si="8"/>
        <v>0</v>
      </c>
      <c r="K168" s="7">
        <v>100000</v>
      </c>
      <c r="L168" s="7">
        <v>0</v>
      </c>
      <c r="M168" s="7">
        <f t="shared" si="11"/>
        <v>100000</v>
      </c>
      <c r="N168" s="9">
        <v>10</v>
      </c>
      <c r="O168" s="9">
        <v>2025</v>
      </c>
      <c r="P168" s="1">
        <v>1</v>
      </c>
      <c r="Q168" s="1" t="s">
        <v>39</v>
      </c>
      <c r="R168" s="1" t="s">
        <v>381</v>
      </c>
      <c r="S168" s="1">
        <v>9763</v>
      </c>
      <c r="T168" s="1" t="s">
        <v>36</v>
      </c>
    </row>
    <row r="169" spans="1:21" x14ac:dyDescent="0.25">
      <c r="A169" s="1" t="s">
        <v>361</v>
      </c>
      <c r="B169" s="1">
        <v>19</v>
      </c>
      <c r="C169" s="1" t="s">
        <v>338</v>
      </c>
      <c r="D169" s="1" t="s">
        <v>339</v>
      </c>
      <c r="E169" s="1" t="s">
        <v>26</v>
      </c>
      <c r="F169" s="2">
        <v>45935</v>
      </c>
      <c r="G169" s="1">
        <v>2025</v>
      </c>
      <c r="H169" s="1" t="s">
        <v>14</v>
      </c>
      <c r="I169" s="1" t="s">
        <v>127</v>
      </c>
      <c r="J169" s="1">
        <f t="shared" si="8"/>
        <v>0</v>
      </c>
      <c r="K169" s="7">
        <v>280000</v>
      </c>
      <c r="L169" s="7">
        <f>J169*1000</f>
        <v>0</v>
      </c>
      <c r="M169" s="7">
        <f t="shared" si="11"/>
        <v>280000</v>
      </c>
      <c r="N169" s="9">
        <v>10</v>
      </c>
      <c r="O169" s="9">
        <v>2025</v>
      </c>
      <c r="P169" s="1">
        <v>1</v>
      </c>
      <c r="Q169" s="1" t="s">
        <v>33</v>
      </c>
      <c r="R169" s="1">
        <v>77644</v>
      </c>
      <c r="T169" s="1" t="s">
        <v>36</v>
      </c>
      <c r="U169" s="1" t="s">
        <v>162</v>
      </c>
    </row>
    <row r="170" spans="1:21" x14ac:dyDescent="0.25">
      <c r="A170" s="1" t="s">
        <v>362</v>
      </c>
      <c r="B170" s="1">
        <v>19</v>
      </c>
      <c r="C170" s="1" t="s">
        <v>338</v>
      </c>
      <c r="D170" s="1" t="s">
        <v>339</v>
      </c>
      <c r="E170" s="1" t="s">
        <v>26</v>
      </c>
      <c r="F170" s="2">
        <v>45935</v>
      </c>
      <c r="G170" s="1">
        <v>2025</v>
      </c>
      <c r="H170" s="1" t="s">
        <v>14</v>
      </c>
      <c r="I170" s="1" t="s">
        <v>127</v>
      </c>
      <c r="J170" s="1">
        <f t="shared" si="8"/>
        <v>0</v>
      </c>
      <c r="K170" s="7">
        <v>20000</v>
      </c>
      <c r="L170" s="7">
        <f>J170*1000</f>
        <v>0</v>
      </c>
      <c r="M170" s="7">
        <f t="shared" si="11"/>
        <v>20000</v>
      </c>
      <c r="N170" s="9">
        <v>10</v>
      </c>
      <c r="O170" s="9">
        <v>2025</v>
      </c>
      <c r="P170" s="1">
        <v>1</v>
      </c>
      <c r="Q170" s="1" t="s">
        <v>33</v>
      </c>
      <c r="R170" s="1">
        <v>77644</v>
      </c>
      <c r="T170" s="1" t="s">
        <v>36</v>
      </c>
      <c r="U170" s="1" t="s">
        <v>162</v>
      </c>
    </row>
    <row r="171" spans="1:21" x14ac:dyDescent="0.25">
      <c r="A171" s="1" t="s">
        <v>360</v>
      </c>
      <c r="B171" s="1">
        <v>13</v>
      </c>
      <c r="C171" s="1" t="s">
        <v>398</v>
      </c>
      <c r="D171" s="1" t="s">
        <v>399</v>
      </c>
      <c r="E171" s="1" t="s">
        <v>26</v>
      </c>
      <c r="F171" s="2">
        <v>45935</v>
      </c>
      <c r="G171" s="1">
        <v>2025</v>
      </c>
      <c r="H171" s="1" t="s">
        <v>14</v>
      </c>
      <c r="I171" s="1" t="s">
        <v>127</v>
      </c>
      <c r="J171" s="1">
        <f t="shared" si="8"/>
        <v>0</v>
      </c>
      <c r="K171" s="7">
        <v>50000</v>
      </c>
      <c r="L171" s="7">
        <v>0</v>
      </c>
      <c r="M171" s="7">
        <f t="shared" si="11"/>
        <v>50000</v>
      </c>
      <c r="N171" s="9">
        <v>10</v>
      </c>
      <c r="O171" s="9">
        <v>2025</v>
      </c>
      <c r="P171" s="1">
        <v>1</v>
      </c>
      <c r="Q171" s="1" t="s">
        <v>39</v>
      </c>
      <c r="R171" s="5" t="s">
        <v>373</v>
      </c>
      <c r="T171" s="1" t="s">
        <v>36</v>
      </c>
    </row>
    <row r="172" spans="1:21" x14ac:dyDescent="0.25">
      <c r="A172" s="1" t="s">
        <v>359</v>
      </c>
      <c r="B172" s="1">
        <v>8</v>
      </c>
      <c r="C172" s="1" t="s">
        <v>409</v>
      </c>
      <c r="D172" s="1" t="s">
        <v>410</v>
      </c>
      <c r="E172" s="1" t="s">
        <v>26</v>
      </c>
      <c r="F172" s="2">
        <v>45933</v>
      </c>
      <c r="G172" s="1">
        <v>2025</v>
      </c>
      <c r="H172" s="1" t="s">
        <v>14</v>
      </c>
      <c r="I172" s="1" t="s">
        <v>127</v>
      </c>
      <c r="J172" s="1">
        <f t="shared" si="8"/>
        <v>0</v>
      </c>
      <c r="K172" s="7">
        <v>200000</v>
      </c>
      <c r="L172" s="7">
        <v>0</v>
      </c>
      <c r="M172" s="7">
        <f t="shared" si="11"/>
        <v>200000</v>
      </c>
      <c r="N172" s="9">
        <v>10</v>
      </c>
      <c r="O172" s="9">
        <v>2025</v>
      </c>
      <c r="P172" s="1">
        <v>1</v>
      </c>
      <c r="Q172" s="1" t="s">
        <v>39</v>
      </c>
      <c r="R172" s="1" t="s">
        <v>372</v>
      </c>
      <c r="T172" s="1" t="s">
        <v>36</v>
      </c>
    </row>
    <row r="173" spans="1:21" x14ac:dyDescent="0.25">
      <c r="A173" s="1" t="s">
        <v>340</v>
      </c>
      <c r="B173" s="1">
        <v>19</v>
      </c>
      <c r="C173" s="1" t="s">
        <v>338</v>
      </c>
      <c r="D173" s="1" t="s">
        <v>339</v>
      </c>
      <c r="E173" s="1" t="s">
        <v>26</v>
      </c>
      <c r="F173" s="2">
        <v>45919</v>
      </c>
      <c r="G173" s="1">
        <v>2025</v>
      </c>
      <c r="H173" s="1" t="s">
        <v>10</v>
      </c>
      <c r="I173" s="1" t="s">
        <v>127</v>
      </c>
      <c r="J173" s="1">
        <f t="shared" si="8"/>
        <v>0</v>
      </c>
      <c r="K173" s="7">
        <v>20000</v>
      </c>
      <c r="L173" s="7">
        <f>J173*1000</f>
        <v>0</v>
      </c>
      <c r="M173" s="7">
        <f t="shared" si="11"/>
        <v>20000</v>
      </c>
      <c r="N173" s="9">
        <v>9</v>
      </c>
      <c r="O173" s="9">
        <v>2025</v>
      </c>
      <c r="P173" s="1">
        <v>1</v>
      </c>
      <c r="Q173" s="1" t="s">
        <v>33</v>
      </c>
      <c r="R173" s="1">
        <v>75732</v>
      </c>
      <c r="T173" s="1" t="s">
        <v>36</v>
      </c>
      <c r="U173" s="1" t="s">
        <v>342</v>
      </c>
    </row>
    <row r="174" spans="1:21" x14ac:dyDescent="0.25">
      <c r="A174" s="1" t="s">
        <v>341</v>
      </c>
      <c r="B174" s="1">
        <v>19</v>
      </c>
      <c r="C174" s="1" t="s">
        <v>338</v>
      </c>
      <c r="D174" s="1" t="s">
        <v>339</v>
      </c>
      <c r="E174" s="1" t="s">
        <v>26</v>
      </c>
      <c r="F174" s="2">
        <v>45919</v>
      </c>
      <c r="G174" s="1">
        <v>2025</v>
      </c>
      <c r="H174" s="1" t="s">
        <v>14</v>
      </c>
      <c r="I174" s="1" t="s">
        <v>127</v>
      </c>
      <c r="J174" s="1">
        <f t="shared" si="8"/>
        <v>0</v>
      </c>
      <c r="K174" s="7">
        <v>20000</v>
      </c>
      <c r="L174" s="7">
        <f>J174*1000</f>
        <v>0</v>
      </c>
      <c r="M174" s="7">
        <f t="shared" si="11"/>
        <v>20000</v>
      </c>
      <c r="N174" s="9">
        <v>10</v>
      </c>
      <c r="O174" s="9">
        <v>2025</v>
      </c>
      <c r="P174" s="1">
        <v>1</v>
      </c>
      <c r="Q174" s="1" t="s">
        <v>33</v>
      </c>
      <c r="R174" s="1">
        <v>75732</v>
      </c>
      <c r="T174" s="1" t="s">
        <v>36</v>
      </c>
    </row>
    <row r="175" spans="1:21" x14ac:dyDescent="0.25">
      <c r="A175" s="1" t="s">
        <v>343</v>
      </c>
      <c r="B175" s="1">
        <v>19</v>
      </c>
      <c r="C175" s="1" t="s">
        <v>338</v>
      </c>
      <c r="D175" s="1" t="s">
        <v>339</v>
      </c>
      <c r="E175" s="1" t="s">
        <v>26</v>
      </c>
      <c r="F175" s="2">
        <v>45919</v>
      </c>
      <c r="G175" s="1">
        <v>2025</v>
      </c>
      <c r="H175" s="1" t="s">
        <v>10</v>
      </c>
      <c r="I175" s="1" t="s">
        <v>127</v>
      </c>
      <c r="J175" s="1">
        <f t="shared" si="8"/>
        <v>0</v>
      </c>
      <c r="K175" s="7">
        <v>310000</v>
      </c>
      <c r="L175" s="7">
        <f>J175*1000</f>
        <v>0</v>
      </c>
      <c r="M175" s="7">
        <f t="shared" si="11"/>
        <v>310000</v>
      </c>
      <c r="N175" s="9">
        <v>9</v>
      </c>
      <c r="O175" s="9">
        <v>2025</v>
      </c>
      <c r="P175" s="1">
        <v>1</v>
      </c>
      <c r="Q175" s="1" t="s">
        <v>33</v>
      </c>
      <c r="R175" s="1">
        <v>75732</v>
      </c>
      <c r="T175" s="1" t="s">
        <v>36</v>
      </c>
      <c r="U175" s="1" t="s">
        <v>344</v>
      </c>
    </row>
    <row r="176" spans="1:21" x14ac:dyDescent="0.25">
      <c r="A176" s="1" t="s">
        <v>337</v>
      </c>
      <c r="B176" s="1">
        <v>3</v>
      </c>
      <c r="C176" s="1" t="s">
        <v>472</v>
      </c>
      <c r="D176" s="1" t="s">
        <v>410</v>
      </c>
      <c r="E176" s="1" t="s">
        <v>26</v>
      </c>
      <c r="F176" s="2">
        <v>45912</v>
      </c>
      <c r="G176" s="1">
        <v>2025</v>
      </c>
      <c r="H176" s="1" t="s">
        <v>14</v>
      </c>
      <c r="I176" s="1" t="s">
        <v>127</v>
      </c>
      <c r="J176" s="1">
        <f t="shared" si="8"/>
        <v>0</v>
      </c>
      <c r="K176" s="7">
        <v>40000</v>
      </c>
      <c r="L176" s="7">
        <v>0</v>
      </c>
      <c r="M176" s="7">
        <f t="shared" si="11"/>
        <v>40000</v>
      </c>
      <c r="N176" s="9">
        <v>10</v>
      </c>
      <c r="O176" s="9">
        <v>2025</v>
      </c>
      <c r="P176" s="1">
        <v>1</v>
      </c>
      <c r="Q176" s="1" t="s">
        <v>90</v>
      </c>
      <c r="R176" s="1">
        <v>2359</v>
      </c>
      <c r="S176" s="1">
        <v>2014</v>
      </c>
      <c r="T176" s="1" t="s">
        <v>36</v>
      </c>
    </row>
    <row r="177" spans="1:20" x14ac:dyDescent="0.25">
      <c r="A177" s="1" t="s">
        <v>330</v>
      </c>
      <c r="B177" s="1">
        <v>6</v>
      </c>
      <c r="C177" s="1" t="s">
        <v>415</v>
      </c>
      <c r="D177" s="1" t="s">
        <v>416</v>
      </c>
      <c r="E177" s="1" t="s">
        <v>26</v>
      </c>
      <c r="F177" s="2">
        <v>45910</v>
      </c>
      <c r="G177" s="1">
        <v>2025</v>
      </c>
      <c r="H177" s="1" t="s">
        <v>10</v>
      </c>
      <c r="I177" s="1" t="s">
        <v>127</v>
      </c>
      <c r="J177" s="1">
        <f t="shared" si="8"/>
        <v>0</v>
      </c>
      <c r="K177" s="7">
        <v>20000</v>
      </c>
      <c r="L177" s="7">
        <v>0</v>
      </c>
      <c r="M177" s="7">
        <f t="shared" si="11"/>
        <v>20000</v>
      </c>
      <c r="N177" s="9">
        <v>9</v>
      </c>
      <c r="O177" s="9">
        <v>2025</v>
      </c>
      <c r="P177" s="1">
        <v>1</v>
      </c>
      <c r="Q177" s="10" t="s">
        <v>80</v>
      </c>
      <c r="R177" s="1">
        <v>14328374</v>
      </c>
      <c r="S177" s="1">
        <v>8600</v>
      </c>
      <c r="T177" s="1" t="s">
        <v>36</v>
      </c>
    </row>
    <row r="178" spans="1:20" x14ac:dyDescent="0.25">
      <c r="A178" s="1" t="s">
        <v>331</v>
      </c>
      <c r="B178" s="1">
        <v>11</v>
      </c>
      <c r="C178" s="1" t="s">
        <v>417</v>
      </c>
      <c r="D178" s="1" t="s">
        <v>410</v>
      </c>
      <c r="E178" s="1" t="s">
        <v>26</v>
      </c>
      <c r="F178" s="2">
        <v>45910</v>
      </c>
      <c r="G178" s="1">
        <v>2025</v>
      </c>
      <c r="H178" s="1" t="s">
        <v>10</v>
      </c>
      <c r="I178" s="1" t="s">
        <v>127</v>
      </c>
      <c r="J178" s="1">
        <f t="shared" si="8"/>
        <v>0</v>
      </c>
      <c r="K178" s="7">
        <v>20000</v>
      </c>
      <c r="L178" s="7">
        <f>1000*J178</f>
        <v>0</v>
      </c>
      <c r="M178" s="7">
        <f t="shared" si="11"/>
        <v>20000</v>
      </c>
      <c r="N178" s="9">
        <v>9</v>
      </c>
      <c r="O178" s="9">
        <v>2025</v>
      </c>
      <c r="P178" s="1">
        <v>1</v>
      </c>
      <c r="Q178" s="10" t="s">
        <v>80</v>
      </c>
      <c r="R178" s="1">
        <v>11328421</v>
      </c>
      <c r="S178" s="1">
        <v>8600</v>
      </c>
      <c r="T178" s="1" t="s">
        <v>36</v>
      </c>
    </row>
    <row r="179" spans="1:20" x14ac:dyDescent="0.25">
      <c r="A179" s="1" t="s">
        <v>334</v>
      </c>
      <c r="B179" s="1">
        <v>10</v>
      </c>
      <c r="C179" s="1" t="s">
        <v>345</v>
      </c>
      <c r="D179" s="1" t="s">
        <v>346</v>
      </c>
      <c r="E179" s="1" t="s">
        <v>26</v>
      </c>
      <c r="F179" s="2">
        <v>45910</v>
      </c>
      <c r="G179" s="1">
        <v>2025</v>
      </c>
      <c r="H179" s="1" t="s">
        <v>10</v>
      </c>
      <c r="I179" s="1" t="s">
        <v>127</v>
      </c>
      <c r="J179" s="1">
        <f t="shared" si="8"/>
        <v>0</v>
      </c>
      <c r="K179" s="7">
        <v>50000</v>
      </c>
      <c r="L179" s="7">
        <v>0</v>
      </c>
      <c r="M179" s="7">
        <f t="shared" si="11"/>
        <v>50000</v>
      </c>
      <c r="N179" s="9">
        <v>9</v>
      </c>
      <c r="O179" s="9">
        <v>2025</v>
      </c>
      <c r="P179" s="1">
        <v>1</v>
      </c>
      <c r="Q179" s="1" t="s">
        <v>84</v>
      </c>
      <c r="T179" s="1" t="s">
        <v>36</v>
      </c>
    </row>
    <row r="180" spans="1:20" x14ac:dyDescent="0.25">
      <c r="A180" s="1" t="s">
        <v>335</v>
      </c>
      <c r="B180" s="1">
        <v>4</v>
      </c>
      <c r="C180" s="1" t="s">
        <v>525</v>
      </c>
      <c r="D180" s="1" t="s">
        <v>526</v>
      </c>
      <c r="E180" s="1" t="s">
        <v>26</v>
      </c>
      <c r="F180" s="2">
        <v>45910</v>
      </c>
      <c r="G180" s="1">
        <v>2025</v>
      </c>
      <c r="H180" s="1" t="s">
        <v>10</v>
      </c>
      <c r="I180" s="1" t="s">
        <v>127</v>
      </c>
      <c r="J180" s="1">
        <f t="shared" si="8"/>
        <v>0</v>
      </c>
      <c r="K180" s="7">
        <v>100000</v>
      </c>
      <c r="L180" s="7">
        <v>0</v>
      </c>
      <c r="M180" s="7">
        <f t="shared" si="11"/>
        <v>100000</v>
      </c>
      <c r="N180" s="9">
        <v>9</v>
      </c>
      <c r="O180" s="9">
        <v>2025</v>
      </c>
      <c r="P180" s="1">
        <v>1</v>
      </c>
      <c r="Q180" s="1" t="s">
        <v>39</v>
      </c>
      <c r="R180" s="1" t="s">
        <v>336</v>
      </c>
      <c r="T180" s="1" t="s">
        <v>36</v>
      </c>
    </row>
    <row r="181" spans="1:20" x14ac:dyDescent="0.25">
      <c r="A181" s="1" t="s">
        <v>332</v>
      </c>
      <c r="B181" s="1">
        <v>7</v>
      </c>
      <c r="C181" s="1" t="s">
        <v>514</v>
      </c>
      <c r="D181" s="1" t="s">
        <v>515</v>
      </c>
      <c r="E181" s="1" t="s">
        <v>26</v>
      </c>
      <c r="F181" s="2">
        <v>45910</v>
      </c>
      <c r="G181" s="1">
        <v>2025</v>
      </c>
      <c r="H181" s="1" t="s">
        <v>10</v>
      </c>
      <c r="I181" s="1" t="s">
        <v>127</v>
      </c>
      <c r="J181" s="1">
        <f t="shared" si="8"/>
        <v>0</v>
      </c>
      <c r="K181" s="7">
        <v>50000</v>
      </c>
      <c r="L181" s="7">
        <v>0</v>
      </c>
      <c r="M181" s="7">
        <f t="shared" si="11"/>
        <v>50000</v>
      </c>
      <c r="N181" s="9">
        <v>9</v>
      </c>
      <c r="O181" s="9">
        <v>2025</v>
      </c>
      <c r="P181" s="1">
        <v>1</v>
      </c>
      <c r="Q181" s="10" t="s">
        <v>80</v>
      </c>
      <c r="R181" s="1">
        <v>11328425</v>
      </c>
      <c r="S181" s="1">
        <v>8600</v>
      </c>
      <c r="T181" s="1" t="s">
        <v>36</v>
      </c>
    </row>
    <row r="182" spans="1:20" x14ac:dyDescent="0.25">
      <c r="A182" s="1" t="s">
        <v>333</v>
      </c>
      <c r="B182" s="1">
        <v>2</v>
      </c>
      <c r="C182" s="1" t="s">
        <v>414</v>
      </c>
      <c r="D182" s="1" t="s">
        <v>410</v>
      </c>
      <c r="E182" s="1" t="s">
        <v>26</v>
      </c>
      <c r="F182" s="2">
        <v>45910</v>
      </c>
      <c r="G182" s="1">
        <v>2025</v>
      </c>
      <c r="H182" s="1" t="s">
        <v>10</v>
      </c>
      <c r="I182" s="1" t="s">
        <v>127</v>
      </c>
      <c r="J182" s="1">
        <f t="shared" si="8"/>
        <v>0</v>
      </c>
      <c r="K182" s="7">
        <v>50000</v>
      </c>
      <c r="L182" s="7">
        <v>0</v>
      </c>
      <c r="M182" s="7">
        <f t="shared" si="11"/>
        <v>50000</v>
      </c>
      <c r="N182" s="9">
        <v>9</v>
      </c>
      <c r="O182" s="9">
        <v>2025</v>
      </c>
      <c r="P182" s="1">
        <v>1</v>
      </c>
      <c r="Q182" s="10" t="s">
        <v>80</v>
      </c>
      <c r="R182" s="1">
        <v>11328428</v>
      </c>
      <c r="S182" s="1">
        <v>8600</v>
      </c>
      <c r="T182" s="1" t="s">
        <v>36</v>
      </c>
    </row>
    <row r="183" spans="1:20" x14ac:dyDescent="0.25">
      <c r="A183" s="1" t="s">
        <v>328</v>
      </c>
      <c r="B183" s="1">
        <v>16</v>
      </c>
      <c r="C183" s="1" t="s">
        <v>422</v>
      </c>
      <c r="D183" s="1" t="s">
        <v>407</v>
      </c>
      <c r="E183" s="1" t="s">
        <v>26</v>
      </c>
      <c r="F183" s="2">
        <v>45908</v>
      </c>
      <c r="G183" s="1">
        <v>2025</v>
      </c>
      <c r="H183" s="1" t="s">
        <v>10</v>
      </c>
      <c r="I183" s="1" t="s">
        <v>127</v>
      </c>
      <c r="J183" s="1">
        <f t="shared" si="8"/>
        <v>0</v>
      </c>
      <c r="K183" s="7">
        <v>50000</v>
      </c>
      <c r="L183" s="7">
        <v>0</v>
      </c>
      <c r="M183" s="7">
        <f t="shared" si="11"/>
        <v>50000</v>
      </c>
      <c r="N183" s="9">
        <v>9</v>
      </c>
      <c r="O183" s="9">
        <v>2025</v>
      </c>
      <c r="P183" s="1">
        <v>1</v>
      </c>
      <c r="Q183" s="1" t="s">
        <v>39</v>
      </c>
      <c r="R183" s="1" t="s">
        <v>329</v>
      </c>
      <c r="S183" s="1">
        <v>9763</v>
      </c>
      <c r="T183" s="1" t="s">
        <v>36</v>
      </c>
    </row>
    <row r="184" spans="1:20" x14ac:dyDescent="0.25">
      <c r="A184" s="1" t="s">
        <v>325</v>
      </c>
      <c r="B184" s="1">
        <v>13</v>
      </c>
      <c r="C184" s="1" t="s">
        <v>398</v>
      </c>
      <c r="D184" s="1" t="s">
        <v>399</v>
      </c>
      <c r="E184" s="1" t="s">
        <v>26</v>
      </c>
      <c r="F184" s="2">
        <v>45905</v>
      </c>
      <c r="G184" s="1">
        <v>2025</v>
      </c>
      <c r="H184" s="1" t="s">
        <v>10</v>
      </c>
      <c r="I184" s="1" t="s">
        <v>127</v>
      </c>
      <c r="J184" s="1">
        <f t="shared" si="8"/>
        <v>0</v>
      </c>
      <c r="K184" s="7">
        <v>50000</v>
      </c>
      <c r="L184" s="7">
        <v>0</v>
      </c>
      <c r="M184" s="7">
        <f t="shared" si="11"/>
        <v>50000</v>
      </c>
      <c r="N184" s="9">
        <v>9</v>
      </c>
      <c r="O184" s="9">
        <v>2025</v>
      </c>
      <c r="P184" s="1">
        <v>1</v>
      </c>
      <c r="Q184" s="1" t="s">
        <v>39</v>
      </c>
      <c r="R184" s="5" t="s">
        <v>326</v>
      </c>
      <c r="T184" s="1" t="s">
        <v>36</v>
      </c>
    </row>
    <row r="185" spans="1:20" x14ac:dyDescent="0.25">
      <c r="A185" s="1" t="s">
        <v>327</v>
      </c>
      <c r="B185" s="1">
        <v>9</v>
      </c>
      <c r="C185" s="1" t="s">
        <v>402</v>
      </c>
      <c r="D185" s="1" t="s">
        <v>346</v>
      </c>
      <c r="E185" s="1" t="s">
        <v>26</v>
      </c>
      <c r="F185" s="2">
        <v>45905</v>
      </c>
      <c r="G185" s="1">
        <v>2025</v>
      </c>
      <c r="H185" s="1" t="s">
        <v>10</v>
      </c>
      <c r="I185" s="1" t="s">
        <v>127</v>
      </c>
      <c r="J185" s="1">
        <f t="shared" si="8"/>
        <v>0</v>
      </c>
      <c r="K185" s="7">
        <v>100000</v>
      </c>
      <c r="L185" s="7">
        <v>0</v>
      </c>
      <c r="M185" s="7">
        <f t="shared" si="11"/>
        <v>100000</v>
      </c>
      <c r="N185" s="9">
        <v>9</v>
      </c>
      <c r="O185" s="9">
        <v>2025</v>
      </c>
      <c r="P185" s="1">
        <v>1</v>
      </c>
      <c r="Q185" s="1" t="s">
        <v>84</v>
      </c>
      <c r="T185" s="1" t="s">
        <v>36</v>
      </c>
    </row>
    <row r="186" spans="1:20" x14ac:dyDescent="0.25">
      <c r="A186" s="1" t="s">
        <v>323</v>
      </c>
      <c r="B186" s="1">
        <v>8</v>
      </c>
      <c r="C186" s="1" t="s">
        <v>409</v>
      </c>
      <c r="D186" s="1" t="s">
        <v>410</v>
      </c>
      <c r="E186" s="1" t="s">
        <v>26</v>
      </c>
      <c r="F186" s="2">
        <v>45902</v>
      </c>
      <c r="G186" s="1">
        <v>2025</v>
      </c>
      <c r="H186" s="1" t="s">
        <v>10</v>
      </c>
      <c r="I186" s="1" t="s">
        <v>127</v>
      </c>
      <c r="J186" s="1">
        <f t="shared" si="8"/>
        <v>0</v>
      </c>
      <c r="K186" s="7">
        <v>200000</v>
      </c>
      <c r="L186" s="7">
        <v>0</v>
      </c>
      <c r="M186" s="7">
        <f t="shared" si="11"/>
        <v>200000</v>
      </c>
      <c r="N186" s="9">
        <v>9</v>
      </c>
      <c r="O186" s="9">
        <v>2025</v>
      </c>
      <c r="P186" s="1">
        <v>1</v>
      </c>
      <c r="Q186" s="1" t="s">
        <v>39</v>
      </c>
      <c r="R186" s="1" t="s">
        <v>324</v>
      </c>
      <c r="T186" s="1" t="s">
        <v>36</v>
      </c>
    </row>
    <row r="187" spans="1:20" x14ac:dyDescent="0.25">
      <c r="A187" s="1" t="s">
        <v>321</v>
      </c>
      <c r="B187" s="1">
        <v>1</v>
      </c>
      <c r="C187" s="1" t="s">
        <v>527</v>
      </c>
      <c r="D187" s="1" t="s">
        <v>346</v>
      </c>
      <c r="E187" s="1" t="s">
        <v>26</v>
      </c>
      <c r="F187" s="2">
        <v>45901</v>
      </c>
      <c r="G187" s="1">
        <v>2025</v>
      </c>
      <c r="H187" s="1" t="s">
        <v>10</v>
      </c>
      <c r="I187" s="1" t="s">
        <v>127</v>
      </c>
      <c r="J187" s="1">
        <f t="shared" si="8"/>
        <v>0</v>
      </c>
      <c r="K187" s="7">
        <v>100000</v>
      </c>
      <c r="L187" s="7">
        <v>0</v>
      </c>
      <c r="M187" s="7">
        <f t="shared" si="11"/>
        <v>100000</v>
      </c>
      <c r="N187" s="9">
        <v>9</v>
      </c>
      <c r="O187" s="9">
        <v>2025</v>
      </c>
      <c r="P187" s="1">
        <v>1</v>
      </c>
      <c r="Q187" s="1" t="s">
        <v>39</v>
      </c>
      <c r="R187" s="1" t="s">
        <v>322</v>
      </c>
      <c r="S187" s="1">
        <v>9763</v>
      </c>
      <c r="T187" s="1" t="s">
        <v>36</v>
      </c>
    </row>
    <row r="188" spans="1:20" x14ac:dyDescent="0.25">
      <c r="A188" s="1" t="s">
        <v>320</v>
      </c>
      <c r="B188" s="1">
        <v>3</v>
      </c>
      <c r="C188" s="1" t="s">
        <v>472</v>
      </c>
      <c r="D188" s="1" t="s">
        <v>410</v>
      </c>
      <c r="E188" s="1" t="s">
        <v>26</v>
      </c>
      <c r="F188" s="2">
        <v>45883</v>
      </c>
      <c r="G188" s="1">
        <v>2025</v>
      </c>
      <c r="H188" s="1" t="s">
        <v>10</v>
      </c>
      <c r="I188" s="1" t="s">
        <v>127</v>
      </c>
      <c r="J188" s="1">
        <f t="shared" ref="J188:J251" si="12">0*0</f>
        <v>0</v>
      </c>
      <c r="K188" s="7">
        <v>40000</v>
      </c>
      <c r="L188" s="7">
        <v>0</v>
      </c>
      <c r="M188" s="7">
        <f t="shared" si="11"/>
        <v>40000</v>
      </c>
      <c r="N188" s="9">
        <v>9</v>
      </c>
      <c r="O188" s="9">
        <v>2025</v>
      </c>
      <c r="P188" s="1">
        <v>1</v>
      </c>
      <c r="Q188" s="1" t="s">
        <v>90</v>
      </c>
      <c r="R188" s="1">
        <v>8698</v>
      </c>
      <c r="S188" s="1">
        <v>2014</v>
      </c>
      <c r="T188" s="1" t="s">
        <v>36</v>
      </c>
    </row>
    <row r="189" spans="1:20" x14ac:dyDescent="0.25">
      <c r="A189" s="1" t="s">
        <v>318</v>
      </c>
      <c r="B189" s="1">
        <v>4</v>
      </c>
      <c r="C189" s="1" t="s">
        <v>525</v>
      </c>
      <c r="D189" s="1" t="s">
        <v>526</v>
      </c>
      <c r="E189" s="1" t="s">
        <v>26</v>
      </c>
      <c r="F189" s="2">
        <v>45879</v>
      </c>
      <c r="G189" s="1">
        <v>2025</v>
      </c>
      <c r="H189" s="1" t="s">
        <v>9</v>
      </c>
      <c r="I189" s="1" t="s">
        <v>127</v>
      </c>
      <c r="J189" s="1">
        <f t="shared" si="12"/>
        <v>0</v>
      </c>
      <c r="K189" s="7">
        <v>100000</v>
      </c>
      <c r="L189" s="7">
        <v>0</v>
      </c>
      <c r="M189" s="7">
        <f t="shared" si="11"/>
        <v>100000</v>
      </c>
      <c r="N189" s="9">
        <v>8</v>
      </c>
      <c r="O189" s="9">
        <v>2025</v>
      </c>
      <c r="P189" s="1">
        <v>1</v>
      </c>
      <c r="Q189" s="1" t="s">
        <v>39</v>
      </c>
      <c r="R189" s="1" t="s">
        <v>319</v>
      </c>
      <c r="T189" s="1" t="s">
        <v>36</v>
      </c>
    </row>
    <row r="190" spans="1:20" x14ac:dyDescent="0.25">
      <c r="A190" s="1" t="s">
        <v>316</v>
      </c>
      <c r="B190" s="1">
        <v>7</v>
      </c>
      <c r="C190" s="1" t="s">
        <v>514</v>
      </c>
      <c r="D190" s="1" t="s">
        <v>515</v>
      </c>
      <c r="E190" s="1" t="s">
        <v>26</v>
      </c>
      <c r="F190" s="2">
        <v>45878</v>
      </c>
      <c r="G190" s="1">
        <v>2025</v>
      </c>
      <c r="H190" s="1" t="s">
        <v>9</v>
      </c>
      <c r="I190" s="1" t="s">
        <v>127</v>
      </c>
      <c r="J190" s="1">
        <f t="shared" si="12"/>
        <v>0</v>
      </c>
      <c r="K190" s="7">
        <v>50000</v>
      </c>
      <c r="L190" s="7">
        <v>0</v>
      </c>
      <c r="M190" s="7">
        <f t="shared" si="11"/>
        <v>50000</v>
      </c>
      <c r="N190" s="9">
        <v>8</v>
      </c>
      <c r="O190" s="9">
        <v>2025</v>
      </c>
      <c r="P190" s="1">
        <v>1</v>
      </c>
      <c r="Q190" s="10" t="s">
        <v>80</v>
      </c>
      <c r="R190" s="1">
        <v>11680731</v>
      </c>
      <c r="S190" s="1">
        <v>9030</v>
      </c>
      <c r="T190" s="1" t="s">
        <v>36</v>
      </c>
    </row>
    <row r="191" spans="1:20" x14ac:dyDescent="0.25">
      <c r="A191" s="1" t="s">
        <v>317</v>
      </c>
      <c r="B191" s="1">
        <v>2</v>
      </c>
      <c r="C191" s="1" t="s">
        <v>414</v>
      </c>
      <c r="D191" s="1" t="s">
        <v>410</v>
      </c>
      <c r="E191" s="1" t="s">
        <v>26</v>
      </c>
      <c r="F191" s="2">
        <v>45878</v>
      </c>
      <c r="G191" s="1">
        <v>2025</v>
      </c>
      <c r="H191" s="1" t="s">
        <v>9</v>
      </c>
      <c r="I191" s="1" t="s">
        <v>127</v>
      </c>
      <c r="J191" s="1">
        <f t="shared" si="12"/>
        <v>0</v>
      </c>
      <c r="K191" s="7">
        <v>50000</v>
      </c>
      <c r="L191" s="7">
        <v>0</v>
      </c>
      <c r="M191" s="7">
        <f t="shared" si="11"/>
        <v>50000</v>
      </c>
      <c r="N191" s="9">
        <v>8</v>
      </c>
      <c r="O191" s="9">
        <v>2025</v>
      </c>
      <c r="P191" s="1">
        <v>1</v>
      </c>
      <c r="Q191" s="10" t="s">
        <v>80</v>
      </c>
      <c r="R191" s="1">
        <v>11680275</v>
      </c>
      <c r="S191" s="1">
        <v>8600</v>
      </c>
      <c r="T191" s="1" t="s">
        <v>36</v>
      </c>
    </row>
    <row r="192" spans="1:20" x14ac:dyDescent="0.25">
      <c r="A192" s="1" t="s">
        <v>314</v>
      </c>
      <c r="B192" s="1">
        <v>10</v>
      </c>
      <c r="C192" s="1" t="s">
        <v>345</v>
      </c>
      <c r="D192" s="1" t="s">
        <v>346</v>
      </c>
      <c r="E192" s="1" t="s">
        <v>26</v>
      </c>
      <c r="F192" s="2">
        <v>45876</v>
      </c>
      <c r="G192" s="1">
        <v>2025</v>
      </c>
      <c r="H192" s="1" t="s">
        <v>9</v>
      </c>
      <c r="I192" s="1" t="s">
        <v>127</v>
      </c>
      <c r="J192" s="1">
        <f t="shared" si="12"/>
        <v>0</v>
      </c>
      <c r="K192" s="7">
        <v>50000</v>
      </c>
      <c r="L192" s="7">
        <v>0</v>
      </c>
      <c r="M192" s="7">
        <f t="shared" si="11"/>
        <v>50000</v>
      </c>
      <c r="N192" s="9">
        <v>8</v>
      </c>
      <c r="O192" s="9">
        <v>2025</v>
      </c>
      <c r="P192" s="1">
        <v>1</v>
      </c>
      <c r="Q192" s="1" t="s">
        <v>84</v>
      </c>
      <c r="T192" s="1" t="s">
        <v>36</v>
      </c>
    </row>
    <row r="193" spans="1:21" x14ac:dyDescent="0.25">
      <c r="A193" s="1" t="s">
        <v>315</v>
      </c>
      <c r="B193" s="1">
        <v>9</v>
      </c>
      <c r="C193" s="1" t="s">
        <v>402</v>
      </c>
      <c r="D193" s="1" t="s">
        <v>346</v>
      </c>
      <c r="E193" s="1" t="s">
        <v>26</v>
      </c>
      <c r="F193" s="2">
        <v>45876</v>
      </c>
      <c r="G193" s="1">
        <v>2025</v>
      </c>
      <c r="H193" s="1" t="s">
        <v>9</v>
      </c>
      <c r="I193" s="1" t="s">
        <v>127</v>
      </c>
      <c r="J193" s="1">
        <f t="shared" si="12"/>
        <v>0</v>
      </c>
      <c r="K193" s="7">
        <v>100000</v>
      </c>
      <c r="L193" s="7">
        <v>0</v>
      </c>
      <c r="M193" s="7">
        <f t="shared" si="11"/>
        <v>100000</v>
      </c>
      <c r="N193" s="9">
        <v>8</v>
      </c>
      <c r="O193" s="9">
        <v>2025</v>
      </c>
      <c r="P193" s="1">
        <v>1</v>
      </c>
      <c r="Q193" s="1" t="s">
        <v>84</v>
      </c>
      <c r="T193" s="1" t="s">
        <v>36</v>
      </c>
    </row>
    <row r="194" spans="1:21" x14ac:dyDescent="0.25">
      <c r="A194" s="1" t="s">
        <v>307</v>
      </c>
      <c r="B194" s="1">
        <v>19</v>
      </c>
      <c r="C194" s="1" t="s">
        <v>338</v>
      </c>
      <c r="D194" s="1" t="s">
        <v>339</v>
      </c>
      <c r="E194" s="1" t="s">
        <v>26</v>
      </c>
      <c r="F194" s="2">
        <v>45874</v>
      </c>
      <c r="G194" s="1">
        <v>2025</v>
      </c>
      <c r="H194" s="1" t="s">
        <v>9</v>
      </c>
      <c r="I194" s="1" t="s">
        <v>127</v>
      </c>
      <c r="J194" s="1">
        <f t="shared" si="12"/>
        <v>0</v>
      </c>
      <c r="K194" s="7">
        <v>220000</v>
      </c>
      <c r="L194" s="7">
        <v>0</v>
      </c>
      <c r="M194" s="7">
        <f t="shared" si="11"/>
        <v>220000</v>
      </c>
      <c r="N194" s="9">
        <v>8</v>
      </c>
      <c r="O194" s="9">
        <v>2025</v>
      </c>
      <c r="P194" s="1">
        <v>1</v>
      </c>
      <c r="Q194" s="1" t="s">
        <v>33</v>
      </c>
      <c r="R194" s="1">
        <v>45322</v>
      </c>
      <c r="S194" s="1">
        <v>6852</v>
      </c>
      <c r="T194" s="1" t="s">
        <v>36</v>
      </c>
    </row>
    <row r="195" spans="1:21" x14ac:dyDescent="0.25">
      <c r="A195" s="1" t="s">
        <v>305</v>
      </c>
      <c r="B195" s="1">
        <v>13</v>
      </c>
      <c r="C195" s="1" t="s">
        <v>398</v>
      </c>
      <c r="D195" s="1" t="s">
        <v>399</v>
      </c>
      <c r="E195" s="1" t="s">
        <v>26</v>
      </c>
      <c r="F195" s="2">
        <v>45874</v>
      </c>
      <c r="G195" s="1">
        <v>2025</v>
      </c>
      <c r="H195" s="1" t="s">
        <v>9</v>
      </c>
      <c r="I195" s="1" t="s">
        <v>127</v>
      </c>
      <c r="J195" s="1">
        <f t="shared" si="12"/>
        <v>0</v>
      </c>
      <c r="K195" s="7">
        <v>50000</v>
      </c>
      <c r="L195" s="7">
        <v>0</v>
      </c>
      <c r="M195" s="7">
        <f t="shared" si="11"/>
        <v>50000</v>
      </c>
      <c r="N195" s="9">
        <v>8</v>
      </c>
      <c r="O195" s="9">
        <v>2025</v>
      </c>
      <c r="P195" s="1">
        <v>1</v>
      </c>
      <c r="Q195" s="1" t="s">
        <v>39</v>
      </c>
      <c r="R195" s="5" t="s">
        <v>306</v>
      </c>
      <c r="T195" s="1" t="s">
        <v>36</v>
      </c>
    </row>
    <row r="196" spans="1:21" x14ac:dyDescent="0.25">
      <c r="A196" s="1" t="s">
        <v>309</v>
      </c>
      <c r="B196" s="1">
        <v>6</v>
      </c>
      <c r="C196" s="1" t="s">
        <v>415</v>
      </c>
      <c r="D196" s="1" t="s">
        <v>416</v>
      </c>
      <c r="E196" s="1" t="s">
        <v>26</v>
      </c>
      <c r="F196" s="2">
        <v>45874</v>
      </c>
      <c r="G196" s="1">
        <v>2025</v>
      </c>
      <c r="H196" s="1" t="s">
        <v>9</v>
      </c>
      <c r="I196" s="1" t="s">
        <v>127</v>
      </c>
      <c r="J196" s="1">
        <f t="shared" si="12"/>
        <v>0</v>
      </c>
      <c r="K196" s="7">
        <v>20000</v>
      </c>
      <c r="L196" s="7">
        <v>0</v>
      </c>
      <c r="M196" s="7">
        <f t="shared" si="11"/>
        <v>20000</v>
      </c>
      <c r="N196" s="9">
        <v>8</v>
      </c>
      <c r="O196" s="9">
        <v>2025</v>
      </c>
      <c r="P196" s="1">
        <v>1</v>
      </c>
      <c r="Q196" s="10" t="s">
        <v>80</v>
      </c>
      <c r="R196" s="1">
        <v>11348239</v>
      </c>
      <c r="S196" s="1">
        <v>8600</v>
      </c>
      <c r="T196" s="1" t="s">
        <v>36</v>
      </c>
    </row>
    <row r="197" spans="1:21" x14ac:dyDescent="0.25">
      <c r="A197" s="1" t="s">
        <v>308</v>
      </c>
      <c r="B197" s="1">
        <v>11</v>
      </c>
      <c r="C197" s="1" t="s">
        <v>417</v>
      </c>
      <c r="D197" s="1" t="s">
        <v>410</v>
      </c>
      <c r="E197" s="1" t="s">
        <v>26</v>
      </c>
      <c r="F197" s="2">
        <v>45874</v>
      </c>
      <c r="G197" s="1">
        <v>2025</v>
      </c>
      <c r="H197" s="1" t="s">
        <v>9</v>
      </c>
      <c r="I197" s="1" t="s">
        <v>127</v>
      </c>
      <c r="J197" s="1">
        <f t="shared" si="12"/>
        <v>0</v>
      </c>
      <c r="K197" s="7">
        <v>20000</v>
      </c>
      <c r="L197" s="7">
        <f>1000*J197</f>
        <v>0</v>
      </c>
      <c r="M197" s="7">
        <f t="shared" si="11"/>
        <v>20000</v>
      </c>
      <c r="N197" s="9">
        <v>8</v>
      </c>
      <c r="O197" s="9">
        <v>2025</v>
      </c>
      <c r="P197" s="1">
        <v>1</v>
      </c>
      <c r="Q197" s="10" t="s">
        <v>80</v>
      </c>
      <c r="R197" s="1">
        <v>11348230</v>
      </c>
      <c r="S197" s="1">
        <v>8600</v>
      </c>
      <c r="T197" s="1" t="s">
        <v>36</v>
      </c>
    </row>
    <row r="198" spans="1:21" x14ac:dyDescent="0.25">
      <c r="A198" s="1" t="s">
        <v>310</v>
      </c>
      <c r="B198" s="1">
        <v>16</v>
      </c>
      <c r="C198" s="1" t="s">
        <v>422</v>
      </c>
      <c r="D198" s="1" t="s">
        <v>407</v>
      </c>
      <c r="E198" s="1" t="s">
        <v>26</v>
      </c>
      <c r="F198" s="2">
        <v>45874</v>
      </c>
      <c r="G198" s="1">
        <v>2025</v>
      </c>
      <c r="H198" s="1" t="s">
        <v>9</v>
      </c>
      <c r="I198" s="1" t="s">
        <v>127</v>
      </c>
      <c r="J198" s="1">
        <f t="shared" si="12"/>
        <v>0</v>
      </c>
      <c r="K198" s="7">
        <v>50000</v>
      </c>
      <c r="L198" s="7">
        <v>0</v>
      </c>
      <c r="M198" s="7">
        <f t="shared" si="11"/>
        <v>50000</v>
      </c>
      <c r="N198" s="9">
        <v>8</v>
      </c>
      <c r="O198" s="9">
        <v>2025</v>
      </c>
      <c r="P198" s="1">
        <v>1</v>
      </c>
      <c r="Q198" s="1" t="s">
        <v>39</v>
      </c>
      <c r="R198" s="1" t="s">
        <v>311</v>
      </c>
      <c r="S198" s="1">
        <v>9763</v>
      </c>
      <c r="T198" s="1" t="s">
        <v>36</v>
      </c>
    </row>
    <row r="199" spans="1:21" x14ac:dyDescent="0.25">
      <c r="A199" s="1" t="s">
        <v>312</v>
      </c>
      <c r="B199" s="1">
        <v>1</v>
      </c>
      <c r="C199" s="1" t="s">
        <v>527</v>
      </c>
      <c r="D199" s="1" t="s">
        <v>346</v>
      </c>
      <c r="E199" s="1" t="s">
        <v>26</v>
      </c>
      <c r="F199" s="2">
        <v>45874</v>
      </c>
      <c r="G199" s="1">
        <v>2025</v>
      </c>
      <c r="H199" s="1" t="s">
        <v>9</v>
      </c>
      <c r="I199" s="1" t="s">
        <v>127</v>
      </c>
      <c r="J199" s="1">
        <f t="shared" si="12"/>
        <v>0</v>
      </c>
      <c r="K199" s="7">
        <v>100000</v>
      </c>
      <c r="L199" s="7">
        <v>0</v>
      </c>
      <c r="M199" s="7">
        <f t="shared" si="11"/>
        <v>100000</v>
      </c>
      <c r="N199" s="9">
        <v>8</v>
      </c>
      <c r="O199" s="9">
        <v>2025</v>
      </c>
      <c r="P199" s="1">
        <v>1</v>
      </c>
      <c r="Q199" s="1" t="s">
        <v>39</v>
      </c>
      <c r="R199" s="1" t="s">
        <v>313</v>
      </c>
      <c r="S199" s="1">
        <v>9763</v>
      </c>
      <c r="T199" s="1" t="s">
        <v>36</v>
      </c>
    </row>
    <row r="200" spans="1:21" x14ac:dyDescent="0.25">
      <c r="A200" s="1" t="s">
        <v>298</v>
      </c>
      <c r="B200" s="1">
        <v>14</v>
      </c>
      <c r="C200" s="1" t="s">
        <v>523</v>
      </c>
      <c r="D200" s="1" t="s">
        <v>339</v>
      </c>
      <c r="E200" s="1" t="s">
        <v>26</v>
      </c>
      <c r="F200" s="2">
        <v>45873</v>
      </c>
      <c r="G200" s="1">
        <v>2025</v>
      </c>
      <c r="H200" s="1" t="s">
        <v>8</v>
      </c>
      <c r="I200" s="1" t="s">
        <v>127</v>
      </c>
      <c r="J200" s="1">
        <f t="shared" si="12"/>
        <v>0</v>
      </c>
      <c r="K200" s="7">
        <v>45000</v>
      </c>
      <c r="L200" s="7">
        <f>J200*1000</f>
        <v>0</v>
      </c>
      <c r="M200" s="7">
        <f t="shared" si="11"/>
        <v>45000</v>
      </c>
      <c r="N200" s="9">
        <v>7</v>
      </c>
      <c r="O200" s="9">
        <v>2025</v>
      </c>
      <c r="P200" s="1">
        <v>1</v>
      </c>
      <c r="Q200" s="1" t="s">
        <v>33</v>
      </c>
      <c r="S200" s="1">
        <v>3315</v>
      </c>
      <c r="T200" s="1" t="s">
        <v>36</v>
      </c>
      <c r="U200" s="1" t="s">
        <v>342</v>
      </c>
    </row>
    <row r="201" spans="1:21" x14ac:dyDescent="0.25">
      <c r="A201" s="1" t="s">
        <v>299</v>
      </c>
      <c r="B201" s="1">
        <v>14</v>
      </c>
      <c r="C201" s="1" t="s">
        <v>523</v>
      </c>
      <c r="D201" s="1" t="s">
        <v>339</v>
      </c>
      <c r="E201" s="1" t="s">
        <v>26</v>
      </c>
      <c r="F201" s="2">
        <v>45873</v>
      </c>
      <c r="G201" s="1">
        <v>2025</v>
      </c>
      <c r="H201" s="1" t="s">
        <v>9</v>
      </c>
      <c r="I201" s="1" t="s">
        <v>127</v>
      </c>
      <c r="J201" s="1">
        <f t="shared" si="12"/>
        <v>0</v>
      </c>
      <c r="K201" s="7">
        <v>20000</v>
      </c>
      <c r="L201" s="7">
        <v>0</v>
      </c>
      <c r="M201" s="7">
        <f t="shared" si="11"/>
        <v>20000</v>
      </c>
      <c r="N201" s="9">
        <v>8</v>
      </c>
      <c r="O201" s="9">
        <v>2025</v>
      </c>
      <c r="P201" s="1">
        <v>1</v>
      </c>
      <c r="Q201" s="1" t="s">
        <v>33</v>
      </c>
      <c r="S201" s="1">
        <v>3315</v>
      </c>
      <c r="T201" s="1" t="s">
        <v>36</v>
      </c>
      <c r="U201" s="1" t="s">
        <v>301</v>
      </c>
    </row>
    <row r="202" spans="1:21" x14ac:dyDescent="0.25">
      <c r="A202" s="1" t="s">
        <v>300</v>
      </c>
      <c r="B202" s="1">
        <v>14</v>
      </c>
      <c r="C202" s="1" t="s">
        <v>523</v>
      </c>
      <c r="D202" s="1" t="s">
        <v>339</v>
      </c>
      <c r="E202" s="1" t="s">
        <v>26</v>
      </c>
      <c r="F202" s="2">
        <v>45873</v>
      </c>
      <c r="G202" s="1">
        <v>2025</v>
      </c>
      <c r="H202" s="1" t="s">
        <v>10</v>
      </c>
      <c r="I202" s="1" t="s">
        <v>127</v>
      </c>
      <c r="J202" s="1">
        <f t="shared" si="12"/>
        <v>0</v>
      </c>
      <c r="K202" s="7">
        <v>20000</v>
      </c>
      <c r="L202" s="7">
        <v>0</v>
      </c>
      <c r="M202" s="7">
        <f t="shared" si="11"/>
        <v>20000</v>
      </c>
      <c r="N202" s="9">
        <v>9</v>
      </c>
      <c r="O202" s="9">
        <v>2025</v>
      </c>
      <c r="P202" s="1">
        <v>1</v>
      </c>
      <c r="Q202" s="1" t="s">
        <v>33</v>
      </c>
      <c r="S202" s="1">
        <v>3315</v>
      </c>
      <c r="T202" s="1" t="s">
        <v>36</v>
      </c>
      <c r="U202" s="1" t="s">
        <v>301</v>
      </c>
    </row>
    <row r="203" spans="1:21" x14ac:dyDescent="0.25">
      <c r="A203" s="1" t="s">
        <v>302</v>
      </c>
      <c r="B203" s="1">
        <v>17</v>
      </c>
      <c r="C203" s="1" t="s">
        <v>402</v>
      </c>
      <c r="D203" s="1" t="s">
        <v>524</v>
      </c>
      <c r="E203" s="1" t="s">
        <v>26</v>
      </c>
      <c r="F203" s="2">
        <v>45873</v>
      </c>
      <c r="G203" s="1">
        <v>2025</v>
      </c>
      <c r="H203" s="1" t="s">
        <v>8</v>
      </c>
      <c r="I203" s="1" t="s">
        <v>127</v>
      </c>
      <c r="J203" s="1">
        <f t="shared" si="12"/>
        <v>0</v>
      </c>
      <c r="K203" s="7">
        <v>45000</v>
      </c>
      <c r="L203" s="7">
        <f>J203*1000</f>
        <v>0</v>
      </c>
      <c r="M203" s="7">
        <f t="shared" si="11"/>
        <v>45000</v>
      </c>
      <c r="N203" s="9">
        <v>7</v>
      </c>
      <c r="O203" s="9">
        <v>2025</v>
      </c>
      <c r="P203" s="1">
        <v>1</v>
      </c>
      <c r="Q203" s="1" t="s">
        <v>33</v>
      </c>
      <c r="S203" s="1">
        <v>3315</v>
      </c>
      <c r="T203" s="1" t="s">
        <v>36</v>
      </c>
      <c r="U203" s="1" t="s">
        <v>342</v>
      </c>
    </row>
    <row r="204" spans="1:21" x14ac:dyDescent="0.25">
      <c r="A204" s="1" t="s">
        <v>303</v>
      </c>
      <c r="B204" s="1">
        <v>17</v>
      </c>
      <c r="C204" s="1" t="s">
        <v>402</v>
      </c>
      <c r="D204" s="1" t="s">
        <v>524</v>
      </c>
      <c r="E204" s="1" t="s">
        <v>26</v>
      </c>
      <c r="F204" s="2">
        <v>45873</v>
      </c>
      <c r="G204" s="1">
        <v>2025</v>
      </c>
      <c r="H204" s="1" t="s">
        <v>9</v>
      </c>
      <c r="I204" s="1" t="s">
        <v>127</v>
      </c>
      <c r="J204" s="1">
        <f t="shared" si="12"/>
        <v>0</v>
      </c>
      <c r="K204" s="7">
        <v>20000</v>
      </c>
      <c r="L204" s="7">
        <v>0</v>
      </c>
      <c r="M204" s="7">
        <f t="shared" si="11"/>
        <v>20000</v>
      </c>
      <c r="N204" s="9">
        <v>8</v>
      </c>
      <c r="O204" s="9">
        <v>2025</v>
      </c>
      <c r="P204" s="1">
        <v>1</v>
      </c>
      <c r="Q204" s="1" t="s">
        <v>33</v>
      </c>
      <c r="S204" s="1">
        <v>3315</v>
      </c>
      <c r="T204" s="1" t="s">
        <v>36</v>
      </c>
      <c r="U204" s="1" t="s">
        <v>301</v>
      </c>
    </row>
    <row r="205" spans="1:21" x14ac:dyDescent="0.25">
      <c r="A205" s="1" t="s">
        <v>304</v>
      </c>
      <c r="B205" s="1">
        <v>17</v>
      </c>
      <c r="C205" s="1" t="s">
        <v>402</v>
      </c>
      <c r="D205" s="1" t="s">
        <v>524</v>
      </c>
      <c r="E205" s="1" t="s">
        <v>26</v>
      </c>
      <c r="F205" s="2">
        <v>45873</v>
      </c>
      <c r="G205" s="1">
        <v>2025</v>
      </c>
      <c r="H205" s="1" t="s">
        <v>10</v>
      </c>
      <c r="I205" s="1" t="s">
        <v>127</v>
      </c>
      <c r="J205" s="1">
        <f t="shared" si="12"/>
        <v>0</v>
      </c>
      <c r="K205" s="7">
        <v>20000</v>
      </c>
      <c r="L205" s="7">
        <v>0</v>
      </c>
      <c r="M205" s="7">
        <f t="shared" si="11"/>
        <v>20000</v>
      </c>
      <c r="N205" s="9">
        <v>9</v>
      </c>
      <c r="O205" s="9">
        <v>2025</v>
      </c>
      <c r="P205" s="1">
        <v>1</v>
      </c>
      <c r="Q205" s="1" t="s">
        <v>33</v>
      </c>
      <c r="S205" s="1">
        <v>3315</v>
      </c>
      <c r="T205" s="1" t="s">
        <v>36</v>
      </c>
      <c r="U205" s="1" t="s">
        <v>301</v>
      </c>
    </row>
    <row r="206" spans="1:21" x14ac:dyDescent="0.25">
      <c r="A206" s="1" t="s">
        <v>296</v>
      </c>
      <c r="B206" s="1">
        <v>8</v>
      </c>
      <c r="C206" s="1" t="s">
        <v>409</v>
      </c>
      <c r="D206" s="1" t="s">
        <v>410</v>
      </c>
      <c r="E206" s="1" t="s">
        <v>26</v>
      </c>
      <c r="F206" s="2">
        <v>45873</v>
      </c>
      <c r="G206" s="1">
        <v>2025</v>
      </c>
      <c r="H206" s="1" t="s">
        <v>9</v>
      </c>
      <c r="I206" s="1" t="s">
        <v>127</v>
      </c>
      <c r="J206" s="1">
        <f t="shared" si="12"/>
        <v>0</v>
      </c>
      <c r="K206" s="7">
        <v>200000</v>
      </c>
      <c r="L206" s="7">
        <v>0</v>
      </c>
      <c r="M206" s="7">
        <f t="shared" si="11"/>
        <v>200000</v>
      </c>
      <c r="N206" s="9">
        <v>8</v>
      </c>
      <c r="O206" s="9">
        <v>2025</v>
      </c>
      <c r="P206" s="1">
        <v>1</v>
      </c>
      <c r="Q206" s="1" t="s">
        <v>39</v>
      </c>
      <c r="R206" s="1" t="s">
        <v>297</v>
      </c>
      <c r="T206" s="1" t="s">
        <v>36</v>
      </c>
    </row>
    <row r="207" spans="1:21" x14ac:dyDescent="0.25">
      <c r="A207" s="1" t="s">
        <v>289</v>
      </c>
      <c r="B207" s="1">
        <v>15</v>
      </c>
      <c r="C207" s="1" t="s">
        <v>394</v>
      </c>
      <c r="D207" s="1" t="s">
        <v>395</v>
      </c>
      <c r="E207" s="1" t="s">
        <v>26</v>
      </c>
      <c r="F207" s="2">
        <v>45860</v>
      </c>
      <c r="G207" s="1">
        <v>2025</v>
      </c>
      <c r="H207" s="1" t="s">
        <v>9</v>
      </c>
      <c r="I207" s="1" t="s">
        <v>127</v>
      </c>
      <c r="J207" s="1">
        <f t="shared" si="12"/>
        <v>0</v>
      </c>
      <c r="K207" s="7">
        <v>60000</v>
      </c>
      <c r="L207" s="7">
        <f>1000*J207</f>
        <v>0</v>
      </c>
      <c r="M207" s="7">
        <f t="shared" si="11"/>
        <v>60000</v>
      </c>
      <c r="N207" s="9">
        <v>8</v>
      </c>
      <c r="O207" s="9">
        <v>2025</v>
      </c>
      <c r="P207" s="1">
        <v>1</v>
      </c>
      <c r="Q207" s="1" t="s">
        <v>33</v>
      </c>
      <c r="R207" s="1" t="s">
        <v>294</v>
      </c>
      <c r="T207" s="1" t="s">
        <v>36</v>
      </c>
      <c r="U207" s="1" t="s">
        <v>295</v>
      </c>
    </row>
    <row r="208" spans="1:21" x14ac:dyDescent="0.25">
      <c r="A208" s="1" t="s">
        <v>290</v>
      </c>
      <c r="B208" s="1">
        <v>15</v>
      </c>
      <c r="C208" s="1" t="s">
        <v>394</v>
      </c>
      <c r="D208" s="1" t="s">
        <v>395</v>
      </c>
      <c r="E208" s="1" t="s">
        <v>26</v>
      </c>
      <c r="F208" s="2">
        <v>45860</v>
      </c>
      <c r="G208" s="1">
        <v>2025</v>
      </c>
      <c r="H208" s="1" t="s">
        <v>10</v>
      </c>
      <c r="I208" s="1" t="s">
        <v>127</v>
      </c>
      <c r="J208" s="1">
        <f t="shared" si="12"/>
        <v>0</v>
      </c>
      <c r="K208" s="7">
        <v>60000</v>
      </c>
      <c r="L208" s="7">
        <f>1000*J208</f>
        <v>0</v>
      </c>
      <c r="M208" s="7">
        <f t="shared" si="11"/>
        <v>60000</v>
      </c>
      <c r="N208" s="9">
        <v>9</v>
      </c>
      <c r="O208" s="9">
        <v>2025</v>
      </c>
      <c r="P208" s="1">
        <v>1</v>
      </c>
      <c r="Q208" s="1" t="s">
        <v>33</v>
      </c>
      <c r="R208" s="1" t="s">
        <v>294</v>
      </c>
      <c r="T208" s="1" t="s">
        <v>36</v>
      </c>
      <c r="U208" s="1" t="s">
        <v>295</v>
      </c>
    </row>
    <row r="209" spans="1:21" x14ac:dyDescent="0.25">
      <c r="A209" s="1" t="s">
        <v>291</v>
      </c>
      <c r="B209" s="1">
        <v>15</v>
      </c>
      <c r="C209" s="1" t="s">
        <v>394</v>
      </c>
      <c r="D209" s="1" t="s">
        <v>395</v>
      </c>
      <c r="E209" s="1" t="s">
        <v>26</v>
      </c>
      <c r="F209" s="2">
        <v>45860</v>
      </c>
      <c r="G209" s="1">
        <v>2025</v>
      </c>
      <c r="H209" s="1" t="s">
        <v>14</v>
      </c>
      <c r="I209" s="1" t="s">
        <v>127</v>
      </c>
      <c r="J209" s="1">
        <f t="shared" si="12"/>
        <v>0</v>
      </c>
      <c r="K209" s="7">
        <v>60000</v>
      </c>
      <c r="L209" s="7">
        <f>1000*J209</f>
        <v>0</v>
      </c>
      <c r="M209" s="7">
        <f t="shared" si="11"/>
        <v>60000</v>
      </c>
      <c r="N209" s="9">
        <v>10</v>
      </c>
      <c r="O209" s="9">
        <v>2025</v>
      </c>
      <c r="P209" s="1">
        <v>1</v>
      </c>
      <c r="Q209" s="1" t="s">
        <v>33</v>
      </c>
      <c r="R209" s="1" t="s">
        <v>294</v>
      </c>
      <c r="T209" s="1" t="s">
        <v>36</v>
      </c>
      <c r="U209" s="1" t="s">
        <v>295</v>
      </c>
    </row>
    <row r="210" spans="1:21" x14ac:dyDescent="0.25">
      <c r="A210" s="1" t="s">
        <v>292</v>
      </c>
      <c r="B210" s="1">
        <v>15</v>
      </c>
      <c r="C210" s="1" t="s">
        <v>394</v>
      </c>
      <c r="D210" s="1" t="s">
        <v>395</v>
      </c>
      <c r="E210" s="1" t="s">
        <v>26</v>
      </c>
      <c r="F210" s="2">
        <v>45860</v>
      </c>
      <c r="G210" s="1">
        <v>2025</v>
      </c>
      <c r="H210" s="1" t="s">
        <v>17</v>
      </c>
      <c r="I210" s="1" t="s">
        <v>127</v>
      </c>
      <c r="J210" s="1">
        <f t="shared" si="12"/>
        <v>0</v>
      </c>
      <c r="K210" s="7">
        <v>60000</v>
      </c>
      <c r="L210" s="7">
        <f>1000*J210</f>
        <v>0</v>
      </c>
      <c r="M210" s="7">
        <f t="shared" ref="M210:M273" si="13">K210-L210</f>
        <v>60000</v>
      </c>
      <c r="N210" s="9">
        <v>11</v>
      </c>
      <c r="O210" s="9">
        <v>2025</v>
      </c>
      <c r="P210" s="1">
        <v>1</v>
      </c>
      <c r="Q210" s="1" t="s">
        <v>33</v>
      </c>
      <c r="R210" s="1" t="s">
        <v>294</v>
      </c>
      <c r="T210" s="1" t="s">
        <v>36</v>
      </c>
      <c r="U210" s="1" t="s">
        <v>295</v>
      </c>
    </row>
    <row r="211" spans="1:21" x14ac:dyDescent="0.25">
      <c r="A211" s="1" t="s">
        <v>293</v>
      </c>
      <c r="B211" s="1">
        <v>15</v>
      </c>
      <c r="C211" s="1" t="s">
        <v>394</v>
      </c>
      <c r="D211" s="1" t="s">
        <v>395</v>
      </c>
      <c r="E211" s="1" t="s">
        <v>26</v>
      </c>
      <c r="F211" s="2">
        <v>45860</v>
      </c>
      <c r="G211" s="1">
        <v>2025</v>
      </c>
      <c r="H211" s="1" t="s">
        <v>16</v>
      </c>
      <c r="I211" s="1" t="s">
        <v>127</v>
      </c>
      <c r="J211" s="1">
        <f t="shared" si="12"/>
        <v>0</v>
      </c>
      <c r="K211" s="7">
        <v>60000</v>
      </c>
      <c r="L211" s="7">
        <f>1000*J211</f>
        <v>0</v>
      </c>
      <c r="M211" s="7">
        <f t="shared" si="13"/>
        <v>60000</v>
      </c>
      <c r="N211" s="9">
        <v>12</v>
      </c>
      <c r="O211" s="9">
        <v>2025</v>
      </c>
      <c r="P211" s="1">
        <v>1</v>
      </c>
      <c r="Q211" s="1" t="s">
        <v>33</v>
      </c>
      <c r="R211" s="1" t="s">
        <v>294</v>
      </c>
      <c r="T211" s="1" t="s">
        <v>36</v>
      </c>
      <c r="U211" s="1" t="s">
        <v>295</v>
      </c>
    </row>
    <row r="212" spans="1:21" x14ac:dyDescent="0.25">
      <c r="A212" s="1" t="s">
        <v>288</v>
      </c>
      <c r="B212" s="1">
        <v>3</v>
      </c>
      <c r="C212" s="1" t="s">
        <v>472</v>
      </c>
      <c r="D212" s="1" t="s">
        <v>410</v>
      </c>
      <c r="E212" s="1" t="s">
        <v>26</v>
      </c>
      <c r="F212" s="2">
        <v>45853</v>
      </c>
      <c r="G212" s="1">
        <v>2025</v>
      </c>
      <c r="H212" s="1" t="s">
        <v>9</v>
      </c>
      <c r="I212" s="1" t="s">
        <v>127</v>
      </c>
      <c r="J212" s="1">
        <f t="shared" si="12"/>
        <v>0</v>
      </c>
      <c r="K212" s="7">
        <v>40000</v>
      </c>
      <c r="L212" s="7">
        <v>0</v>
      </c>
      <c r="M212" s="7">
        <f t="shared" si="13"/>
        <v>40000</v>
      </c>
      <c r="N212" s="9">
        <v>8</v>
      </c>
      <c r="O212" s="9">
        <v>2025</v>
      </c>
      <c r="P212" s="1">
        <v>1</v>
      </c>
      <c r="Q212" s="1" t="s">
        <v>90</v>
      </c>
      <c r="R212" s="1">
        <v>9281</v>
      </c>
      <c r="T212" s="1" t="s">
        <v>36</v>
      </c>
    </row>
    <row r="213" spans="1:21" x14ac:dyDescent="0.25">
      <c r="A213" s="1" t="s">
        <v>287</v>
      </c>
      <c r="B213" s="1">
        <v>4</v>
      </c>
      <c r="C213" s="1" t="s">
        <v>525</v>
      </c>
      <c r="D213" s="1" t="s">
        <v>526</v>
      </c>
      <c r="E213" s="1" t="s">
        <v>26</v>
      </c>
      <c r="F213" s="2">
        <v>45848</v>
      </c>
      <c r="G213" s="1">
        <v>2025</v>
      </c>
      <c r="H213" s="1" t="s">
        <v>8</v>
      </c>
      <c r="I213" s="1" t="s">
        <v>127</v>
      </c>
      <c r="J213" s="1">
        <f t="shared" si="12"/>
        <v>0</v>
      </c>
      <c r="K213" s="7">
        <v>100000</v>
      </c>
      <c r="L213" s="7">
        <v>0</v>
      </c>
      <c r="M213" s="7">
        <f t="shared" si="13"/>
        <v>100000</v>
      </c>
      <c r="N213" s="9">
        <v>7</v>
      </c>
      <c r="O213" s="9">
        <v>2025</v>
      </c>
      <c r="P213" s="1">
        <v>1</v>
      </c>
      <c r="Q213" s="1" t="s">
        <v>22</v>
      </c>
      <c r="R213" s="1">
        <v>1</v>
      </c>
      <c r="S213" s="1">
        <v>5644</v>
      </c>
      <c r="T213" s="1" t="s">
        <v>36</v>
      </c>
    </row>
    <row r="214" spans="1:21" x14ac:dyDescent="0.25">
      <c r="A214" s="1" t="s">
        <v>285</v>
      </c>
      <c r="B214" s="1">
        <v>7</v>
      </c>
      <c r="C214" s="1" t="s">
        <v>514</v>
      </c>
      <c r="D214" s="1" t="s">
        <v>515</v>
      </c>
      <c r="E214" s="1" t="s">
        <v>26</v>
      </c>
      <c r="F214" s="2">
        <v>45848</v>
      </c>
      <c r="G214" s="1">
        <v>2025</v>
      </c>
      <c r="H214" s="1" t="s">
        <v>8</v>
      </c>
      <c r="I214" s="1" t="s">
        <v>127</v>
      </c>
      <c r="J214" s="1">
        <f t="shared" si="12"/>
        <v>0</v>
      </c>
      <c r="K214" s="7">
        <v>50000</v>
      </c>
      <c r="L214" s="7">
        <v>0</v>
      </c>
      <c r="M214" s="7">
        <f t="shared" si="13"/>
        <v>50000</v>
      </c>
      <c r="N214" s="9">
        <v>7</v>
      </c>
      <c r="O214" s="9">
        <v>2025</v>
      </c>
      <c r="P214" s="1">
        <v>1</v>
      </c>
      <c r="Q214" s="10" t="s">
        <v>80</v>
      </c>
      <c r="R214" s="1">
        <v>9194443</v>
      </c>
      <c r="S214" s="1">
        <v>8600</v>
      </c>
      <c r="T214" s="1" t="s">
        <v>36</v>
      </c>
    </row>
    <row r="215" spans="1:21" x14ac:dyDescent="0.25">
      <c r="A215" s="1" t="s">
        <v>286</v>
      </c>
      <c r="B215" s="1">
        <v>2</v>
      </c>
      <c r="C215" s="1" t="s">
        <v>414</v>
      </c>
      <c r="D215" s="1" t="s">
        <v>410</v>
      </c>
      <c r="E215" s="1" t="s">
        <v>26</v>
      </c>
      <c r="F215" s="2">
        <v>45848</v>
      </c>
      <c r="G215" s="1">
        <v>2025</v>
      </c>
      <c r="H215" s="1" t="s">
        <v>8</v>
      </c>
      <c r="I215" s="1" t="s">
        <v>127</v>
      </c>
      <c r="J215" s="1">
        <f t="shared" si="12"/>
        <v>0</v>
      </c>
      <c r="K215" s="7">
        <v>50000</v>
      </c>
      <c r="L215" s="7">
        <v>0</v>
      </c>
      <c r="M215" s="7">
        <f t="shared" si="13"/>
        <v>50000</v>
      </c>
      <c r="N215" s="9">
        <v>7</v>
      </c>
      <c r="O215" s="9">
        <v>2025</v>
      </c>
      <c r="P215" s="1">
        <v>1</v>
      </c>
      <c r="Q215" s="10" t="s">
        <v>80</v>
      </c>
      <c r="R215" s="1">
        <v>9194185</v>
      </c>
      <c r="S215" s="1">
        <v>8600</v>
      </c>
      <c r="T215" s="1" t="s">
        <v>36</v>
      </c>
    </row>
    <row r="216" spans="1:21" x14ac:dyDescent="0.25">
      <c r="A216" s="1" t="s">
        <v>284</v>
      </c>
      <c r="B216" s="1">
        <v>10</v>
      </c>
      <c r="C216" s="1" t="s">
        <v>345</v>
      </c>
      <c r="D216" s="1" t="s">
        <v>346</v>
      </c>
      <c r="E216" s="1" t="s">
        <v>26</v>
      </c>
      <c r="F216" s="2">
        <v>45846</v>
      </c>
      <c r="G216" s="1">
        <v>2025</v>
      </c>
      <c r="H216" s="1" t="s">
        <v>8</v>
      </c>
      <c r="I216" s="1" t="s">
        <v>127</v>
      </c>
      <c r="J216" s="1">
        <f t="shared" si="12"/>
        <v>0</v>
      </c>
      <c r="K216" s="7">
        <v>50000</v>
      </c>
      <c r="L216" s="7">
        <v>0</v>
      </c>
      <c r="M216" s="7">
        <f t="shared" si="13"/>
        <v>50000</v>
      </c>
      <c r="N216" s="9">
        <v>7</v>
      </c>
      <c r="O216" s="9">
        <v>2025</v>
      </c>
      <c r="P216" s="1">
        <v>1</v>
      </c>
      <c r="Q216" s="1" t="s">
        <v>84</v>
      </c>
      <c r="T216" s="1" t="s">
        <v>36</v>
      </c>
    </row>
    <row r="217" spans="1:21" x14ac:dyDescent="0.25">
      <c r="A217" s="1" t="s">
        <v>283</v>
      </c>
      <c r="B217" s="1">
        <v>9</v>
      </c>
      <c r="C217" s="1" t="s">
        <v>402</v>
      </c>
      <c r="D217" s="1" t="s">
        <v>346</v>
      </c>
      <c r="E217" s="1" t="s">
        <v>26</v>
      </c>
      <c r="F217" s="2">
        <v>45846</v>
      </c>
      <c r="G217" s="1">
        <v>2025</v>
      </c>
      <c r="H217" s="1" t="s">
        <v>8</v>
      </c>
      <c r="I217" s="1" t="s">
        <v>127</v>
      </c>
      <c r="J217" s="1">
        <f t="shared" si="12"/>
        <v>0</v>
      </c>
      <c r="K217" s="7">
        <v>100000</v>
      </c>
      <c r="L217" s="7">
        <v>0</v>
      </c>
      <c r="M217" s="7">
        <f t="shared" si="13"/>
        <v>100000</v>
      </c>
      <c r="N217" s="9">
        <v>7</v>
      </c>
      <c r="O217" s="9">
        <v>2025</v>
      </c>
      <c r="P217" s="1">
        <v>1</v>
      </c>
      <c r="Q217" s="1" t="s">
        <v>84</v>
      </c>
      <c r="T217" s="1" t="s">
        <v>36</v>
      </c>
    </row>
    <row r="218" spans="1:21" x14ac:dyDescent="0.25">
      <c r="A218" s="1" t="s">
        <v>281</v>
      </c>
      <c r="B218" s="1">
        <v>1</v>
      </c>
      <c r="C218" s="1" t="s">
        <v>527</v>
      </c>
      <c r="D218" s="1" t="s">
        <v>346</v>
      </c>
      <c r="E218" s="1" t="s">
        <v>26</v>
      </c>
      <c r="F218" s="2">
        <v>45845</v>
      </c>
      <c r="G218" s="1">
        <v>2025</v>
      </c>
      <c r="H218" s="1" t="s">
        <v>8</v>
      </c>
      <c r="I218" s="1" t="s">
        <v>127</v>
      </c>
      <c r="J218" s="1">
        <f t="shared" si="12"/>
        <v>0</v>
      </c>
      <c r="K218" s="7">
        <v>100000</v>
      </c>
      <c r="L218" s="7">
        <v>0</v>
      </c>
      <c r="M218" s="7">
        <f t="shared" si="13"/>
        <v>100000</v>
      </c>
      <c r="N218" s="9">
        <v>7</v>
      </c>
      <c r="O218" s="9">
        <v>2025</v>
      </c>
      <c r="P218" s="1">
        <v>1</v>
      </c>
      <c r="Q218" s="1" t="s">
        <v>39</v>
      </c>
      <c r="R218" s="1" t="s">
        <v>282</v>
      </c>
      <c r="S218" s="1" t="s">
        <v>120</v>
      </c>
      <c r="T218" s="1" t="s">
        <v>36</v>
      </c>
    </row>
    <row r="219" spans="1:21" x14ac:dyDescent="0.25">
      <c r="A219" s="1" t="s">
        <v>280</v>
      </c>
      <c r="B219" s="1">
        <v>19</v>
      </c>
      <c r="C219" s="1" t="s">
        <v>338</v>
      </c>
      <c r="D219" s="1" t="s">
        <v>339</v>
      </c>
      <c r="E219" s="1" t="s">
        <v>26</v>
      </c>
      <c r="F219" s="2">
        <v>45843</v>
      </c>
      <c r="G219" s="1">
        <v>2025</v>
      </c>
      <c r="H219" s="1" t="s">
        <v>8</v>
      </c>
      <c r="I219" s="1" t="s">
        <v>127</v>
      </c>
      <c r="J219" s="1">
        <f t="shared" si="12"/>
        <v>0</v>
      </c>
      <c r="K219" s="7">
        <v>520000</v>
      </c>
      <c r="L219" s="7">
        <v>0</v>
      </c>
      <c r="M219" s="7">
        <f t="shared" si="13"/>
        <v>520000</v>
      </c>
      <c r="N219" s="9">
        <v>7</v>
      </c>
      <c r="O219" s="9">
        <v>2025</v>
      </c>
      <c r="P219" s="1">
        <v>1</v>
      </c>
      <c r="Q219" s="1" t="s">
        <v>33</v>
      </c>
      <c r="R219" s="1">
        <v>4695</v>
      </c>
      <c r="S219" s="1">
        <v>6852</v>
      </c>
      <c r="T219" s="1" t="s">
        <v>36</v>
      </c>
    </row>
    <row r="220" spans="1:21" x14ac:dyDescent="0.25">
      <c r="A220" s="1" t="s">
        <v>278</v>
      </c>
      <c r="B220" s="1">
        <v>13</v>
      </c>
      <c r="C220" s="1" t="s">
        <v>398</v>
      </c>
      <c r="D220" s="1" t="s">
        <v>399</v>
      </c>
      <c r="E220" s="1" t="s">
        <v>26</v>
      </c>
      <c r="F220" s="2">
        <v>45843</v>
      </c>
      <c r="G220" s="1">
        <v>2025</v>
      </c>
      <c r="H220" s="1" t="s">
        <v>8</v>
      </c>
      <c r="I220" s="1" t="s">
        <v>127</v>
      </c>
      <c r="J220" s="1">
        <f t="shared" si="12"/>
        <v>0</v>
      </c>
      <c r="K220" s="7">
        <v>50000</v>
      </c>
      <c r="L220" s="7">
        <v>0</v>
      </c>
      <c r="M220" s="7">
        <f t="shared" si="13"/>
        <v>50000</v>
      </c>
      <c r="N220" s="9">
        <v>7</v>
      </c>
      <c r="O220" s="9">
        <v>2025</v>
      </c>
      <c r="P220" s="1">
        <v>1</v>
      </c>
      <c r="Q220" s="1" t="s">
        <v>39</v>
      </c>
      <c r="R220" s="5" t="s">
        <v>279</v>
      </c>
      <c r="T220" s="1" t="s">
        <v>36</v>
      </c>
    </row>
    <row r="221" spans="1:21" x14ac:dyDescent="0.25">
      <c r="A221" s="1" t="s">
        <v>277</v>
      </c>
      <c r="B221" s="1">
        <v>16</v>
      </c>
      <c r="C221" s="1" t="s">
        <v>422</v>
      </c>
      <c r="D221" s="1" t="s">
        <v>407</v>
      </c>
      <c r="E221" s="1" t="s">
        <v>26</v>
      </c>
      <c r="F221" s="2">
        <v>45843</v>
      </c>
      <c r="G221" s="1">
        <v>2025</v>
      </c>
      <c r="H221" s="1" t="s">
        <v>8</v>
      </c>
      <c r="I221" s="1" t="s">
        <v>127</v>
      </c>
      <c r="J221" s="1">
        <f t="shared" si="12"/>
        <v>0</v>
      </c>
      <c r="K221" s="7">
        <v>50000</v>
      </c>
      <c r="L221" s="7">
        <v>0</v>
      </c>
      <c r="M221" s="7">
        <f t="shared" si="13"/>
        <v>50000</v>
      </c>
      <c r="N221" s="9">
        <v>7</v>
      </c>
      <c r="O221" s="9">
        <v>2025</v>
      </c>
      <c r="P221" s="1">
        <v>1</v>
      </c>
      <c r="Q221" s="1" t="s">
        <v>39</v>
      </c>
      <c r="R221" s="1">
        <v>382395</v>
      </c>
      <c r="T221" s="1" t="s">
        <v>36</v>
      </c>
    </row>
    <row r="222" spans="1:21" x14ac:dyDescent="0.25">
      <c r="A222" s="1" t="s">
        <v>273</v>
      </c>
      <c r="B222" s="1">
        <v>6</v>
      </c>
      <c r="C222" s="1" t="s">
        <v>415</v>
      </c>
      <c r="D222" s="1" t="s">
        <v>416</v>
      </c>
      <c r="E222" s="1" t="s">
        <v>26</v>
      </c>
      <c r="F222" s="2">
        <v>45841</v>
      </c>
      <c r="G222" s="1">
        <v>2025</v>
      </c>
      <c r="H222" s="1" t="s">
        <v>8</v>
      </c>
      <c r="I222" s="1" t="s">
        <v>127</v>
      </c>
      <c r="J222" s="1">
        <f t="shared" si="12"/>
        <v>0</v>
      </c>
      <c r="K222" s="7">
        <v>20000</v>
      </c>
      <c r="L222" s="7">
        <v>0</v>
      </c>
      <c r="M222" s="7">
        <f t="shared" si="13"/>
        <v>20000</v>
      </c>
      <c r="N222" s="9">
        <v>7</v>
      </c>
      <c r="O222" s="9">
        <v>2025</v>
      </c>
      <c r="P222" s="1">
        <v>1</v>
      </c>
      <c r="Q222" s="10" t="s">
        <v>80</v>
      </c>
      <c r="R222" s="1">
        <v>8622104</v>
      </c>
      <c r="S222" s="1">
        <v>8600</v>
      </c>
      <c r="T222" s="1" t="s">
        <v>36</v>
      </c>
    </row>
    <row r="223" spans="1:21" x14ac:dyDescent="0.25">
      <c r="A223" s="1" t="s">
        <v>274</v>
      </c>
      <c r="B223" s="1">
        <v>11</v>
      </c>
      <c r="C223" s="1" t="s">
        <v>417</v>
      </c>
      <c r="D223" s="1" t="s">
        <v>410</v>
      </c>
      <c r="E223" s="1" t="s">
        <v>26</v>
      </c>
      <c r="F223" s="2">
        <v>45841</v>
      </c>
      <c r="G223" s="1">
        <v>2025</v>
      </c>
      <c r="H223" s="1" t="s">
        <v>8</v>
      </c>
      <c r="I223" s="1" t="s">
        <v>127</v>
      </c>
      <c r="J223" s="1">
        <f t="shared" si="12"/>
        <v>0</v>
      </c>
      <c r="K223" s="7">
        <v>20000</v>
      </c>
      <c r="L223" s="7">
        <f>1000*J223</f>
        <v>0</v>
      </c>
      <c r="M223" s="7">
        <f t="shared" si="13"/>
        <v>20000</v>
      </c>
      <c r="N223" s="9">
        <v>7</v>
      </c>
      <c r="O223" s="9">
        <v>2025</v>
      </c>
      <c r="P223" s="1">
        <v>1</v>
      </c>
      <c r="Q223" s="10" t="s">
        <v>80</v>
      </c>
      <c r="R223" s="1">
        <v>8622116</v>
      </c>
      <c r="S223" s="1">
        <v>8600</v>
      </c>
      <c r="T223" s="1" t="s">
        <v>36</v>
      </c>
    </row>
    <row r="224" spans="1:21" x14ac:dyDescent="0.25">
      <c r="A224" s="1" t="s">
        <v>275</v>
      </c>
      <c r="B224" s="1">
        <v>8</v>
      </c>
      <c r="C224" s="1" t="s">
        <v>409</v>
      </c>
      <c r="D224" s="1" t="s">
        <v>410</v>
      </c>
      <c r="E224" s="1" t="s">
        <v>26</v>
      </c>
      <c r="F224" s="2">
        <v>45841</v>
      </c>
      <c r="G224" s="1">
        <v>2025</v>
      </c>
      <c r="H224" s="1" t="s">
        <v>8</v>
      </c>
      <c r="I224" s="1" t="s">
        <v>127</v>
      </c>
      <c r="J224" s="1">
        <f t="shared" si="12"/>
        <v>0</v>
      </c>
      <c r="K224" s="7">
        <v>200000</v>
      </c>
      <c r="L224" s="7">
        <v>0</v>
      </c>
      <c r="M224" s="7">
        <f t="shared" si="13"/>
        <v>200000</v>
      </c>
      <c r="N224" s="9">
        <v>7</v>
      </c>
      <c r="O224" s="9">
        <v>2025</v>
      </c>
      <c r="P224" s="1">
        <v>1</v>
      </c>
      <c r="Q224" s="1" t="s">
        <v>39</v>
      </c>
      <c r="R224" s="1" t="s">
        <v>276</v>
      </c>
      <c r="T224" s="1" t="s">
        <v>36</v>
      </c>
    </row>
    <row r="225" spans="1:21" x14ac:dyDescent="0.25">
      <c r="A225" s="1" t="s">
        <v>265</v>
      </c>
      <c r="B225" s="1">
        <v>1</v>
      </c>
      <c r="C225" s="1" t="s">
        <v>527</v>
      </c>
      <c r="D225" s="1" t="s">
        <v>346</v>
      </c>
      <c r="E225" s="1" t="s">
        <v>26</v>
      </c>
      <c r="F225" s="2">
        <v>45836</v>
      </c>
      <c r="G225" s="1">
        <v>2025</v>
      </c>
      <c r="H225" s="1" t="s">
        <v>7</v>
      </c>
      <c r="I225" s="1" t="s">
        <v>127</v>
      </c>
      <c r="J225" s="1">
        <f t="shared" si="12"/>
        <v>0</v>
      </c>
      <c r="K225" s="7">
        <v>1000000</v>
      </c>
      <c r="L225" s="7">
        <v>0</v>
      </c>
      <c r="M225" s="7">
        <f t="shared" si="13"/>
        <v>1000000</v>
      </c>
      <c r="N225" s="9">
        <v>6</v>
      </c>
      <c r="O225" s="9">
        <v>2025</v>
      </c>
      <c r="P225" s="1">
        <v>1</v>
      </c>
      <c r="Q225" s="1" t="s">
        <v>39</v>
      </c>
      <c r="R225" s="1" t="s">
        <v>266</v>
      </c>
      <c r="S225" s="1" t="s">
        <v>120</v>
      </c>
      <c r="T225" s="1" t="s">
        <v>36</v>
      </c>
      <c r="U225" s="1" t="s">
        <v>163</v>
      </c>
    </row>
    <row r="226" spans="1:21" x14ac:dyDescent="0.25">
      <c r="A226" s="1" t="s">
        <v>263</v>
      </c>
      <c r="B226" s="1">
        <v>3</v>
      </c>
      <c r="C226" s="1" t="s">
        <v>472</v>
      </c>
      <c r="D226" s="1" t="s">
        <v>410</v>
      </c>
      <c r="E226" s="1" t="s">
        <v>26</v>
      </c>
      <c r="F226" s="2">
        <v>45833</v>
      </c>
      <c r="G226" s="1">
        <v>2025</v>
      </c>
      <c r="H226" s="1" t="s">
        <v>8</v>
      </c>
      <c r="I226" s="1" t="s">
        <v>127</v>
      </c>
      <c r="J226" s="1">
        <f t="shared" si="12"/>
        <v>0</v>
      </c>
      <c r="K226" s="7">
        <v>1000000</v>
      </c>
      <c r="L226" s="7">
        <v>0</v>
      </c>
      <c r="M226" s="7">
        <f t="shared" si="13"/>
        <v>1000000</v>
      </c>
      <c r="N226" s="9">
        <v>7</v>
      </c>
      <c r="O226" s="9">
        <v>2025</v>
      </c>
      <c r="P226" s="1">
        <v>1</v>
      </c>
      <c r="Q226" s="1" t="s">
        <v>90</v>
      </c>
      <c r="R226" s="1">
        <v>76541</v>
      </c>
      <c r="S226" s="1">
        <v>2014</v>
      </c>
      <c r="T226" s="1" t="s">
        <v>36</v>
      </c>
      <c r="U226" s="1" t="s">
        <v>163</v>
      </c>
    </row>
    <row r="227" spans="1:21" x14ac:dyDescent="0.25">
      <c r="A227" s="1" t="s">
        <v>262</v>
      </c>
      <c r="B227" s="1">
        <v>3</v>
      </c>
      <c r="C227" s="1" t="s">
        <v>472</v>
      </c>
      <c r="D227" s="1" t="s">
        <v>410</v>
      </c>
      <c r="E227" s="1" t="s">
        <v>26</v>
      </c>
      <c r="F227" s="2">
        <v>45821</v>
      </c>
      <c r="G227" s="1">
        <v>2025</v>
      </c>
      <c r="H227" s="1" t="s">
        <v>8</v>
      </c>
      <c r="I227" s="1" t="s">
        <v>127</v>
      </c>
      <c r="J227" s="1">
        <f t="shared" si="12"/>
        <v>0</v>
      </c>
      <c r="K227" s="7">
        <v>40000</v>
      </c>
      <c r="L227" s="7">
        <v>0</v>
      </c>
      <c r="M227" s="7">
        <f t="shared" si="13"/>
        <v>40000</v>
      </c>
      <c r="N227" s="9">
        <v>7</v>
      </c>
      <c r="O227" s="9">
        <v>2025</v>
      </c>
      <c r="P227" s="1">
        <v>1</v>
      </c>
      <c r="Q227" s="1" t="s">
        <v>90</v>
      </c>
      <c r="R227" s="1">
        <v>76541</v>
      </c>
      <c r="S227" s="1">
        <v>2014</v>
      </c>
      <c r="T227" s="1" t="s">
        <v>36</v>
      </c>
    </row>
    <row r="228" spans="1:21" x14ac:dyDescent="0.25">
      <c r="A228" s="1" t="s">
        <v>253</v>
      </c>
      <c r="B228" s="1">
        <v>7</v>
      </c>
      <c r="C228" s="1" t="s">
        <v>514</v>
      </c>
      <c r="D228" s="1" t="s">
        <v>515</v>
      </c>
      <c r="E228" s="1" t="s">
        <v>26</v>
      </c>
      <c r="F228" s="2">
        <v>45818</v>
      </c>
      <c r="G228" s="1">
        <v>2025</v>
      </c>
      <c r="H228" s="1" t="s">
        <v>7</v>
      </c>
      <c r="I228" s="1" t="s">
        <v>127</v>
      </c>
      <c r="J228" s="1">
        <f t="shared" si="12"/>
        <v>0</v>
      </c>
      <c r="K228" s="7">
        <v>50000</v>
      </c>
      <c r="L228" s="7">
        <v>0</v>
      </c>
      <c r="M228" s="7">
        <f t="shared" si="13"/>
        <v>50000</v>
      </c>
      <c r="N228" s="9">
        <v>6</v>
      </c>
      <c r="O228" s="9">
        <v>2025</v>
      </c>
      <c r="P228" s="1">
        <v>1</v>
      </c>
      <c r="Q228" s="10" t="s">
        <v>80</v>
      </c>
      <c r="R228" s="1">
        <v>6768405</v>
      </c>
      <c r="S228" s="1">
        <v>9030</v>
      </c>
      <c r="T228" s="1" t="s">
        <v>36</v>
      </c>
    </row>
    <row r="229" spans="1:21" x14ac:dyDescent="0.25">
      <c r="A229" s="1" t="s">
        <v>259</v>
      </c>
      <c r="B229" s="1">
        <v>2</v>
      </c>
      <c r="C229" s="1" t="s">
        <v>414</v>
      </c>
      <c r="D229" s="1" t="s">
        <v>410</v>
      </c>
      <c r="E229" s="1" t="s">
        <v>26</v>
      </c>
      <c r="F229" s="2">
        <v>45818</v>
      </c>
      <c r="G229" s="1">
        <v>2025</v>
      </c>
      <c r="H229" s="1" t="s">
        <v>7</v>
      </c>
      <c r="I229" s="1" t="s">
        <v>127</v>
      </c>
      <c r="J229" s="1">
        <f t="shared" si="12"/>
        <v>0</v>
      </c>
      <c r="K229" s="7">
        <v>50000</v>
      </c>
      <c r="L229" s="7">
        <v>0</v>
      </c>
      <c r="M229" s="7">
        <f t="shared" si="13"/>
        <v>50000</v>
      </c>
      <c r="N229" s="9">
        <v>6</v>
      </c>
      <c r="O229" s="9">
        <v>2025</v>
      </c>
      <c r="P229" s="1">
        <v>1</v>
      </c>
      <c r="Q229" s="10" t="s">
        <v>84</v>
      </c>
      <c r="T229" s="1" t="s">
        <v>36</v>
      </c>
    </row>
    <row r="230" spans="1:21" x14ac:dyDescent="0.25">
      <c r="A230" s="1" t="s">
        <v>250</v>
      </c>
      <c r="B230" s="1">
        <v>19</v>
      </c>
      <c r="C230" s="1" t="s">
        <v>338</v>
      </c>
      <c r="D230" s="1" t="s">
        <v>339</v>
      </c>
      <c r="E230" s="1" t="s">
        <v>26</v>
      </c>
      <c r="F230" s="2">
        <v>45817</v>
      </c>
      <c r="G230" s="1">
        <v>2025</v>
      </c>
      <c r="H230" s="1" t="s">
        <v>7</v>
      </c>
      <c r="I230" s="1" t="s">
        <v>127</v>
      </c>
      <c r="J230" s="1">
        <f t="shared" si="12"/>
        <v>0</v>
      </c>
      <c r="K230" s="7">
        <v>230000</v>
      </c>
      <c r="L230" s="7">
        <v>0</v>
      </c>
      <c r="M230" s="7">
        <f t="shared" si="13"/>
        <v>230000</v>
      </c>
      <c r="N230" s="9">
        <v>6</v>
      </c>
      <c r="O230" s="9">
        <v>2025</v>
      </c>
      <c r="P230" s="1">
        <v>1</v>
      </c>
      <c r="Q230" s="1" t="s">
        <v>39</v>
      </c>
      <c r="R230" s="1">
        <v>82206</v>
      </c>
      <c r="S230" s="1">
        <v>6852</v>
      </c>
      <c r="T230" s="1" t="s">
        <v>36</v>
      </c>
    </row>
    <row r="231" spans="1:21" x14ac:dyDescent="0.25">
      <c r="A231" s="1" t="s">
        <v>251</v>
      </c>
      <c r="B231" s="1">
        <v>19</v>
      </c>
      <c r="C231" s="1" t="s">
        <v>338</v>
      </c>
      <c r="D231" s="1" t="s">
        <v>339</v>
      </c>
      <c r="E231" s="1" t="s">
        <v>26</v>
      </c>
      <c r="F231" s="2">
        <v>45817</v>
      </c>
      <c r="G231" s="1">
        <v>2025</v>
      </c>
      <c r="H231" s="1" t="s">
        <v>8</v>
      </c>
      <c r="I231" s="1" t="s">
        <v>127</v>
      </c>
      <c r="J231" s="1">
        <f t="shared" si="12"/>
        <v>0</v>
      </c>
      <c r="K231" s="7">
        <v>20000</v>
      </c>
      <c r="L231" s="7">
        <v>0</v>
      </c>
      <c r="M231" s="7">
        <f t="shared" si="13"/>
        <v>20000</v>
      </c>
      <c r="N231" s="9">
        <v>7</v>
      </c>
      <c r="O231" s="9">
        <v>2025</v>
      </c>
      <c r="P231" s="1">
        <v>1</v>
      </c>
      <c r="Q231" s="1" t="s">
        <v>39</v>
      </c>
      <c r="R231" s="1">
        <v>82206</v>
      </c>
      <c r="S231" s="1">
        <v>6852</v>
      </c>
      <c r="T231" s="1" t="s">
        <v>36</v>
      </c>
    </row>
    <row r="232" spans="1:21" x14ac:dyDescent="0.25">
      <c r="A232" s="1" t="s">
        <v>252</v>
      </c>
      <c r="B232" s="1">
        <v>18</v>
      </c>
      <c r="C232" s="1" t="s">
        <v>406</v>
      </c>
      <c r="D232" s="1" t="s">
        <v>407</v>
      </c>
      <c r="E232" s="1" t="s">
        <v>26</v>
      </c>
      <c r="F232" s="2">
        <v>45817</v>
      </c>
      <c r="G232" s="1">
        <v>2025</v>
      </c>
      <c r="H232" s="1" t="s">
        <v>7</v>
      </c>
      <c r="I232" s="1" t="s">
        <v>127</v>
      </c>
      <c r="J232" s="1">
        <f t="shared" si="12"/>
        <v>0</v>
      </c>
      <c r="K232" s="7">
        <v>500000</v>
      </c>
      <c r="L232" s="7">
        <f>1000*J232</f>
        <v>0</v>
      </c>
      <c r="M232" s="7">
        <f t="shared" si="13"/>
        <v>500000</v>
      </c>
      <c r="N232" s="9">
        <v>6</v>
      </c>
      <c r="O232" s="9">
        <v>2025</v>
      </c>
      <c r="P232" s="1">
        <v>1</v>
      </c>
      <c r="Q232" s="1" t="s">
        <v>33</v>
      </c>
      <c r="R232" s="1">
        <v>78686</v>
      </c>
      <c r="S232" s="1">
        <v>6820</v>
      </c>
      <c r="T232" s="1" t="s">
        <v>36</v>
      </c>
      <c r="U232" s="1" t="s">
        <v>163</v>
      </c>
    </row>
    <row r="233" spans="1:21" x14ac:dyDescent="0.25">
      <c r="A233" s="1" t="s">
        <v>249</v>
      </c>
      <c r="B233" s="1">
        <v>1</v>
      </c>
      <c r="C233" s="1" t="s">
        <v>527</v>
      </c>
      <c r="D233" s="1" t="s">
        <v>346</v>
      </c>
      <c r="E233" s="1" t="s">
        <v>26</v>
      </c>
      <c r="F233" s="2">
        <v>45817</v>
      </c>
      <c r="G233" s="1">
        <v>2025</v>
      </c>
      <c r="H233" s="1" t="s">
        <v>7</v>
      </c>
      <c r="I233" s="1" t="s">
        <v>127</v>
      </c>
      <c r="J233" s="1">
        <f t="shared" si="12"/>
        <v>0</v>
      </c>
      <c r="K233" s="7">
        <v>100000</v>
      </c>
      <c r="L233" s="7">
        <v>0</v>
      </c>
      <c r="M233" s="7">
        <f t="shared" si="13"/>
        <v>100000</v>
      </c>
      <c r="N233" s="9">
        <v>6</v>
      </c>
      <c r="O233" s="9">
        <v>2025</v>
      </c>
      <c r="P233" s="1">
        <v>1</v>
      </c>
      <c r="Q233" s="1" t="s">
        <v>39</v>
      </c>
      <c r="R233" s="1" t="s">
        <v>246</v>
      </c>
      <c r="S233" s="1" t="s">
        <v>120</v>
      </c>
      <c r="T233" s="1" t="s">
        <v>36</v>
      </c>
    </row>
    <row r="234" spans="1:21" x14ac:dyDescent="0.25">
      <c r="A234" s="1" t="s">
        <v>247</v>
      </c>
      <c r="B234" s="1">
        <v>13</v>
      </c>
      <c r="C234" s="1" t="s">
        <v>398</v>
      </c>
      <c r="D234" s="1" t="s">
        <v>399</v>
      </c>
      <c r="E234" s="1" t="s">
        <v>26</v>
      </c>
      <c r="F234" s="2">
        <v>45813</v>
      </c>
      <c r="G234" s="1">
        <v>2025</v>
      </c>
      <c r="H234" s="1" t="s">
        <v>7</v>
      </c>
      <c r="I234" s="1" t="s">
        <v>127</v>
      </c>
      <c r="J234" s="1">
        <f t="shared" si="12"/>
        <v>0</v>
      </c>
      <c r="K234" s="7">
        <v>50000</v>
      </c>
      <c r="L234" s="7">
        <v>0</v>
      </c>
      <c r="M234" s="7">
        <f t="shared" si="13"/>
        <v>50000</v>
      </c>
      <c r="N234" s="9">
        <v>6</v>
      </c>
      <c r="O234" s="9">
        <v>2025</v>
      </c>
      <c r="P234" s="1">
        <v>1</v>
      </c>
      <c r="Q234" s="1" t="s">
        <v>39</v>
      </c>
      <c r="R234" s="5" t="s">
        <v>261</v>
      </c>
      <c r="T234" s="1" t="s">
        <v>36</v>
      </c>
    </row>
    <row r="235" spans="1:21" x14ac:dyDescent="0.25">
      <c r="A235" s="1" t="s">
        <v>248</v>
      </c>
      <c r="B235" s="1">
        <v>16</v>
      </c>
      <c r="C235" s="1" t="s">
        <v>422</v>
      </c>
      <c r="D235" s="1" t="s">
        <v>407</v>
      </c>
      <c r="E235" s="1" t="s">
        <v>26</v>
      </c>
      <c r="F235" s="2">
        <v>45813</v>
      </c>
      <c r="G235" s="1">
        <v>2025</v>
      </c>
      <c r="H235" s="1" t="s">
        <v>7</v>
      </c>
      <c r="I235" s="1" t="s">
        <v>127</v>
      </c>
      <c r="J235" s="1">
        <f t="shared" si="12"/>
        <v>0</v>
      </c>
      <c r="K235" s="7">
        <v>50000</v>
      </c>
      <c r="L235" s="7">
        <v>0</v>
      </c>
      <c r="M235" s="7">
        <f t="shared" si="13"/>
        <v>50000</v>
      </c>
      <c r="N235" s="9">
        <v>6</v>
      </c>
      <c r="O235" s="9">
        <v>2025</v>
      </c>
      <c r="P235" s="1">
        <v>1</v>
      </c>
      <c r="Q235" s="1" t="s">
        <v>39</v>
      </c>
      <c r="R235" s="1" t="s">
        <v>264</v>
      </c>
      <c r="T235" s="1" t="s">
        <v>36</v>
      </c>
    </row>
    <row r="236" spans="1:21" x14ac:dyDescent="0.25">
      <c r="A236" s="1" t="s">
        <v>242</v>
      </c>
      <c r="B236" s="1">
        <v>11</v>
      </c>
      <c r="C236" s="1" t="s">
        <v>417</v>
      </c>
      <c r="D236" s="1" t="s">
        <v>410</v>
      </c>
      <c r="E236" s="1" t="s">
        <v>26</v>
      </c>
      <c r="F236" s="2">
        <v>45812</v>
      </c>
      <c r="G236" s="1">
        <v>2025</v>
      </c>
      <c r="H236" s="1" t="s">
        <v>7</v>
      </c>
      <c r="I236" s="1" t="s">
        <v>127</v>
      </c>
      <c r="J236" s="1">
        <f t="shared" si="12"/>
        <v>0</v>
      </c>
      <c r="K236" s="7">
        <v>20000</v>
      </c>
      <c r="L236" s="7">
        <f>1000*J236</f>
        <v>0</v>
      </c>
      <c r="M236" s="7">
        <f t="shared" si="13"/>
        <v>20000</v>
      </c>
      <c r="N236" s="9">
        <v>6</v>
      </c>
      <c r="O236" s="9">
        <v>2025</v>
      </c>
      <c r="P236" s="1">
        <v>1</v>
      </c>
      <c r="Q236" s="10" t="s">
        <v>80</v>
      </c>
      <c r="R236" s="1">
        <v>6270118</v>
      </c>
      <c r="S236" s="1">
        <v>8600</v>
      </c>
      <c r="T236" s="1" t="s">
        <v>36</v>
      </c>
    </row>
    <row r="237" spans="1:21" x14ac:dyDescent="0.25">
      <c r="A237" s="1" t="s">
        <v>245</v>
      </c>
      <c r="B237" s="1">
        <v>4</v>
      </c>
      <c r="C237" s="1" t="s">
        <v>525</v>
      </c>
      <c r="D237" s="1" t="s">
        <v>526</v>
      </c>
      <c r="E237" s="1" t="s">
        <v>26</v>
      </c>
      <c r="F237" s="2">
        <v>45812</v>
      </c>
      <c r="G237" s="1">
        <v>2025</v>
      </c>
      <c r="H237" s="1" t="s">
        <v>7</v>
      </c>
      <c r="I237" s="1" t="s">
        <v>127</v>
      </c>
      <c r="J237" s="1">
        <f t="shared" si="12"/>
        <v>0</v>
      </c>
      <c r="K237" s="7">
        <v>100000</v>
      </c>
      <c r="L237" s="7">
        <v>0</v>
      </c>
      <c r="M237" s="7">
        <f t="shared" si="13"/>
        <v>100000</v>
      </c>
      <c r="N237" s="9">
        <v>6</v>
      </c>
      <c r="O237" s="9">
        <v>2025</v>
      </c>
      <c r="P237" s="1">
        <v>1</v>
      </c>
      <c r="Q237" s="1" t="s">
        <v>39</v>
      </c>
      <c r="R237" s="1" t="s">
        <v>260</v>
      </c>
      <c r="T237" s="1" t="s">
        <v>36</v>
      </c>
    </row>
    <row r="238" spans="1:21" x14ac:dyDescent="0.25">
      <c r="A238" s="1" t="s">
        <v>243</v>
      </c>
      <c r="B238" s="1">
        <v>8</v>
      </c>
      <c r="C238" s="1" t="s">
        <v>409</v>
      </c>
      <c r="D238" s="1" t="s">
        <v>410</v>
      </c>
      <c r="E238" s="1" t="s">
        <v>26</v>
      </c>
      <c r="F238" s="2">
        <v>45812</v>
      </c>
      <c r="G238" s="1">
        <v>2025</v>
      </c>
      <c r="H238" s="1" t="s">
        <v>7</v>
      </c>
      <c r="I238" s="1" t="s">
        <v>127</v>
      </c>
      <c r="J238" s="1">
        <f t="shared" si="12"/>
        <v>0</v>
      </c>
      <c r="K238" s="7">
        <v>200000</v>
      </c>
      <c r="L238" s="7">
        <v>0</v>
      </c>
      <c r="M238" s="7">
        <f t="shared" si="13"/>
        <v>200000</v>
      </c>
      <c r="N238" s="9">
        <v>6</v>
      </c>
      <c r="O238" s="9">
        <v>2025</v>
      </c>
      <c r="P238" s="1">
        <v>1</v>
      </c>
      <c r="Q238" s="1" t="s">
        <v>39</v>
      </c>
      <c r="R238" s="1" t="s">
        <v>244</v>
      </c>
      <c r="T238" s="1" t="s">
        <v>36</v>
      </c>
    </row>
    <row r="239" spans="1:21" x14ac:dyDescent="0.25">
      <c r="A239" s="1" t="s">
        <v>241</v>
      </c>
      <c r="B239" s="1">
        <v>10</v>
      </c>
      <c r="C239" s="1" t="s">
        <v>345</v>
      </c>
      <c r="D239" s="1" t="s">
        <v>346</v>
      </c>
      <c r="E239" s="1" t="s">
        <v>26</v>
      </c>
      <c r="F239" s="2">
        <v>45810</v>
      </c>
      <c r="G239" s="1">
        <v>2025</v>
      </c>
      <c r="H239" s="1" t="s">
        <v>7</v>
      </c>
      <c r="I239" s="1" t="s">
        <v>127</v>
      </c>
      <c r="J239" s="1">
        <f t="shared" si="12"/>
        <v>0</v>
      </c>
      <c r="K239" s="7">
        <v>50000</v>
      </c>
      <c r="L239" s="7">
        <v>0</v>
      </c>
      <c r="M239" s="7">
        <f t="shared" si="13"/>
        <v>50000</v>
      </c>
      <c r="N239" s="9">
        <v>6</v>
      </c>
      <c r="O239" s="9">
        <v>2025</v>
      </c>
      <c r="P239" s="1">
        <v>1</v>
      </c>
      <c r="Q239" s="1" t="s">
        <v>84</v>
      </c>
      <c r="T239" s="1" t="s">
        <v>36</v>
      </c>
    </row>
    <row r="240" spans="1:21" x14ac:dyDescent="0.25">
      <c r="A240" s="1" t="s">
        <v>240</v>
      </c>
      <c r="B240" s="1">
        <v>9</v>
      </c>
      <c r="C240" s="1" t="s">
        <v>402</v>
      </c>
      <c r="D240" s="1" t="s">
        <v>346</v>
      </c>
      <c r="E240" s="1" t="s">
        <v>26</v>
      </c>
      <c r="F240" s="2">
        <v>45810</v>
      </c>
      <c r="G240" s="1">
        <v>2025</v>
      </c>
      <c r="H240" s="1" t="s">
        <v>7</v>
      </c>
      <c r="I240" s="1" t="s">
        <v>127</v>
      </c>
      <c r="J240" s="1">
        <f t="shared" si="12"/>
        <v>0</v>
      </c>
      <c r="K240" s="7">
        <v>100000</v>
      </c>
      <c r="L240" s="7">
        <v>0</v>
      </c>
      <c r="M240" s="7">
        <f t="shared" si="13"/>
        <v>100000</v>
      </c>
      <c r="N240" s="9">
        <v>6</v>
      </c>
      <c r="O240" s="9">
        <v>2025</v>
      </c>
      <c r="P240" s="1">
        <v>1</v>
      </c>
      <c r="Q240" s="1" t="s">
        <v>84</v>
      </c>
      <c r="T240" s="1" t="s">
        <v>36</v>
      </c>
    </row>
    <row r="241" spans="1:21" x14ac:dyDescent="0.25">
      <c r="A241" s="1" t="s">
        <v>237</v>
      </c>
      <c r="B241" s="1">
        <v>3</v>
      </c>
      <c r="C241" s="1" t="s">
        <v>472</v>
      </c>
      <c r="D241" s="1" t="s">
        <v>410</v>
      </c>
      <c r="E241" s="1" t="s">
        <v>26</v>
      </c>
      <c r="F241" s="2">
        <v>45791</v>
      </c>
      <c r="G241" s="1">
        <v>2025</v>
      </c>
      <c r="H241" s="1" t="s">
        <v>6</v>
      </c>
      <c r="I241" s="1" t="s">
        <v>127</v>
      </c>
      <c r="J241" s="1">
        <f t="shared" si="12"/>
        <v>0</v>
      </c>
      <c r="K241" s="7">
        <v>500000</v>
      </c>
      <c r="L241" s="7">
        <v>0</v>
      </c>
      <c r="M241" s="7">
        <f t="shared" si="13"/>
        <v>500000</v>
      </c>
      <c r="N241" s="9">
        <v>5</v>
      </c>
      <c r="O241" s="9">
        <v>2025</v>
      </c>
      <c r="P241" s="1">
        <v>1</v>
      </c>
      <c r="Q241" s="1" t="s">
        <v>90</v>
      </c>
      <c r="R241" s="1">
        <v>69995</v>
      </c>
      <c r="S241" s="1">
        <v>2014</v>
      </c>
      <c r="T241" s="1" t="s">
        <v>36</v>
      </c>
      <c r="U241" s="1" t="s">
        <v>162</v>
      </c>
    </row>
    <row r="242" spans="1:21" x14ac:dyDescent="0.25">
      <c r="A242" s="1" t="s">
        <v>238</v>
      </c>
      <c r="B242" s="1">
        <v>3</v>
      </c>
      <c r="C242" s="1" t="s">
        <v>472</v>
      </c>
      <c r="D242" s="1" t="s">
        <v>410</v>
      </c>
      <c r="E242" s="1" t="s">
        <v>26</v>
      </c>
      <c r="F242" s="2">
        <v>45791</v>
      </c>
      <c r="G242" s="1">
        <v>2025</v>
      </c>
      <c r="H242" s="1" t="s">
        <v>7</v>
      </c>
      <c r="I242" s="1" t="s">
        <v>127</v>
      </c>
      <c r="J242" s="1">
        <f t="shared" si="12"/>
        <v>0</v>
      </c>
      <c r="K242" s="7">
        <v>40000</v>
      </c>
      <c r="L242" s="7">
        <v>0</v>
      </c>
      <c r="M242" s="7">
        <f t="shared" si="13"/>
        <v>40000</v>
      </c>
      <c r="N242" s="9">
        <v>6</v>
      </c>
      <c r="O242" s="9">
        <v>2025</v>
      </c>
      <c r="P242" s="1">
        <v>1</v>
      </c>
      <c r="Q242" s="1" t="s">
        <v>90</v>
      </c>
      <c r="R242" s="1">
        <v>69995</v>
      </c>
      <c r="S242" s="1">
        <v>2014</v>
      </c>
      <c r="T242" s="1" t="s">
        <v>36</v>
      </c>
    </row>
    <row r="243" spans="1:21" x14ac:dyDescent="0.25">
      <c r="A243" s="1" t="s">
        <v>239</v>
      </c>
      <c r="B243" s="1">
        <v>3</v>
      </c>
      <c r="C243" s="1" t="s">
        <v>472</v>
      </c>
      <c r="D243" s="1" t="s">
        <v>410</v>
      </c>
      <c r="E243" s="1" t="s">
        <v>26</v>
      </c>
      <c r="F243" s="2">
        <v>45791</v>
      </c>
      <c r="G243" s="1">
        <v>2025</v>
      </c>
      <c r="H243" s="1" t="s">
        <v>7</v>
      </c>
      <c r="I243" s="1" t="s">
        <v>127</v>
      </c>
      <c r="J243" s="1">
        <f t="shared" si="12"/>
        <v>0</v>
      </c>
      <c r="K243" s="7">
        <v>1061</v>
      </c>
      <c r="L243" s="7">
        <v>0</v>
      </c>
      <c r="M243" s="7">
        <f t="shared" si="13"/>
        <v>1061</v>
      </c>
      <c r="N243" s="9">
        <v>6</v>
      </c>
      <c r="O243" s="9">
        <v>2025</v>
      </c>
      <c r="P243" s="1">
        <v>1</v>
      </c>
      <c r="Q243" s="1" t="s">
        <v>90</v>
      </c>
      <c r="R243" s="1">
        <v>69995</v>
      </c>
      <c r="S243" s="1">
        <v>2014</v>
      </c>
      <c r="T243" s="1" t="s">
        <v>36</v>
      </c>
      <c r="U243" s="1" t="s">
        <v>162</v>
      </c>
    </row>
    <row r="244" spans="1:21" x14ac:dyDescent="0.25">
      <c r="A244" s="1" t="s">
        <v>235</v>
      </c>
      <c r="B244" s="1">
        <v>4</v>
      </c>
      <c r="C244" s="1" t="s">
        <v>525</v>
      </c>
      <c r="D244" s="1" t="s">
        <v>526</v>
      </c>
      <c r="E244" s="1" t="s">
        <v>26</v>
      </c>
      <c r="F244" s="2">
        <v>45787</v>
      </c>
      <c r="G244" s="1">
        <v>2025</v>
      </c>
      <c r="H244" s="1" t="s">
        <v>6</v>
      </c>
      <c r="I244" s="1" t="s">
        <v>127</v>
      </c>
      <c r="J244" s="1">
        <f t="shared" si="12"/>
        <v>0</v>
      </c>
      <c r="K244" s="7">
        <v>100000</v>
      </c>
      <c r="L244" s="7">
        <v>0</v>
      </c>
      <c r="M244" s="7">
        <f t="shared" si="13"/>
        <v>100000</v>
      </c>
      <c r="N244" s="9">
        <v>5</v>
      </c>
      <c r="O244" s="9">
        <v>2025</v>
      </c>
      <c r="P244" s="1">
        <v>1</v>
      </c>
      <c r="Q244" s="1" t="s">
        <v>39</v>
      </c>
      <c r="R244" s="1" t="s">
        <v>236</v>
      </c>
      <c r="T244" s="1" t="s">
        <v>36</v>
      </c>
    </row>
    <row r="245" spans="1:21" x14ac:dyDescent="0.25">
      <c r="A245" s="1" t="s">
        <v>231</v>
      </c>
      <c r="B245" s="1">
        <v>16</v>
      </c>
      <c r="C245" s="1" t="s">
        <v>422</v>
      </c>
      <c r="D245" s="1" t="s">
        <v>407</v>
      </c>
      <c r="E245" s="1" t="s">
        <v>26</v>
      </c>
      <c r="F245" s="2">
        <v>45787</v>
      </c>
      <c r="G245" s="1">
        <v>2025</v>
      </c>
      <c r="H245" s="1" t="s">
        <v>6</v>
      </c>
      <c r="I245" s="1" t="s">
        <v>127</v>
      </c>
      <c r="J245" s="1">
        <f t="shared" si="12"/>
        <v>0</v>
      </c>
      <c r="K245" s="7">
        <v>50000</v>
      </c>
      <c r="L245" s="7">
        <v>0</v>
      </c>
      <c r="M245" s="7">
        <f t="shared" si="13"/>
        <v>50000</v>
      </c>
      <c r="N245" s="9">
        <v>5</v>
      </c>
      <c r="O245" s="9">
        <v>2025</v>
      </c>
      <c r="P245" s="1">
        <v>1</v>
      </c>
      <c r="Q245" s="1" t="s">
        <v>39</v>
      </c>
      <c r="R245" s="1" t="s">
        <v>232</v>
      </c>
      <c r="T245" s="1" t="s">
        <v>36</v>
      </c>
    </row>
    <row r="246" spans="1:21" x14ac:dyDescent="0.25">
      <c r="A246" s="1" t="s">
        <v>233</v>
      </c>
      <c r="B246" s="1">
        <v>1</v>
      </c>
      <c r="C246" s="1" t="s">
        <v>527</v>
      </c>
      <c r="D246" s="1" t="s">
        <v>346</v>
      </c>
      <c r="E246" s="1" t="s">
        <v>26</v>
      </c>
      <c r="F246" s="2">
        <v>45787</v>
      </c>
      <c r="G246" s="1">
        <v>2025</v>
      </c>
      <c r="H246" s="1" t="s">
        <v>6</v>
      </c>
      <c r="I246" s="1" t="s">
        <v>127</v>
      </c>
      <c r="J246" s="1">
        <f t="shared" si="12"/>
        <v>0</v>
      </c>
      <c r="K246" s="7">
        <v>100000</v>
      </c>
      <c r="L246" s="7">
        <v>0</v>
      </c>
      <c r="M246" s="7">
        <f t="shared" si="13"/>
        <v>100000</v>
      </c>
      <c r="N246" s="9">
        <v>5</v>
      </c>
      <c r="O246" s="9">
        <v>2025</v>
      </c>
      <c r="P246" s="1">
        <v>1</v>
      </c>
      <c r="Q246" s="1" t="s">
        <v>39</v>
      </c>
      <c r="R246" s="1" t="s">
        <v>234</v>
      </c>
      <c r="S246" s="1" t="s">
        <v>120</v>
      </c>
      <c r="T246" s="1" t="s">
        <v>36</v>
      </c>
    </row>
    <row r="247" spans="1:21" x14ac:dyDescent="0.25">
      <c r="A247" s="1" t="s">
        <v>222</v>
      </c>
      <c r="B247" s="1">
        <v>12</v>
      </c>
      <c r="C247" s="1" t="s">
        <v>521</v>
      </c>
      <c r="D247" s="1" t="s">
        <v>522</v>
      </c>
      <c r="E247" s="1" t="s">
        <v>26</v>
      </c>
      <c r="F247" s="2">
        <v>45786</v>
      </c>
      <c r="G247" s="1">
        <v>2025</v>
      </c>
      <c r="H247" s="1" t="s">
        <v>6</v>
      </c>
      <c r="I247" s="1" t="s">
        <v>127</v>
      </c>
      <c r="J247" s="1">
        <f t="shared" si="12"/>
        <v>0</v>
      </c>
      <c r="K247" s="7">
        <v>20000</v>
      </c>
      <c r="L247" s="7">
        <f t="shared" ref="L247:L264" si="14">1000*J247</f>
        <v>0</v>
      </c>
      <c r="M247" s="7">
        <f t="shared" si="13"/>
        <v>20000</v>
      </c>
      <c r="N247" s="9">
        <v>5</v>
      </c>
      <c r="O247" s="9">
        <v>2025</v>
      </c>
      <c r="P247" s="1">
        <v>1</v>
      </c>
      <c r="Q247" s="1" t="s">
        <v>33</v>
      </c>
      <c r="R247" s="1">
        <v>42883</v>
      </c>
      <c r="T247" s="1" t="s">
        <v>36</v>
      </c>
    </row>
    <row r="248" spans="1:21" x14ac:dyDescent="0.25">
      <c r="A248" s="1" t="s">
        <v>223</v>
      </c>
      <c r="B248" s="1">
        <v>12</v>
      </c>
      <c r="C248" s="1" t="s">
        <v>521</v>
      </c>
      <c r="D248" s="1" t="s">
        <v>522</v>
      </c>
      <c r="E248" s="1" t="s">
        <v>26</v>
      </c>
      <c r="F248" s="2">
        <v>45786</v>
      </c>
      <c r="G248" s="1">
        <v>2025</v>
      </c>
      <c r="H248" s="1" t="s">
        <v>6</v>
      </c>
      <c r="I248" s="1" t="s">
        <v>127</v>
      </c>
      <c r="J248" s="1">
        <f t="shared" si="12"/>
        <v>0</v>
      </c>
      <c r="K248" s="7">
        <v>40000</v>
      </c>
      <c r="L248" s="7">
        <f t="shared" si="14"/>
        <v>0</v>
      </c>
      <c r="M248" s="7">
        <f t="shared" si="13"/>
        <v>40000</v>
      </c>
      <c r="N248" s="9">
        <v>5</v>
      </c>
      <c r="O248" s="9">
        <v>2025</v>
      </c>
      <c r="P248" s="1">
        <v>1</v>
      </c>
      <c r="Q248" s="1" t="s">
        <v>33</v>
      </c>
      <c r="R248" s="1">
        <v>42883</v>
      </c>
      <c r="T248" s="1" t="s">
        <v>36</v>
      </c>
      <c r="U248" s="1" t="s">
        <v>162</v>
      </c>
    </row>
    <row r="249" spans="1:21" x14ac:dyDescent="0.25">
      <c r="A249" s="1" t="s">
        <v>224</v>
      </c>
      <c r="B249" s="1">
        <v>12</v>
      </c>
      <c r="C249" s="1" t="s">
        <v>521</v>
      </c>
      <c r="D249" s="1" t="s">
        <v>522</v>
      </c>
      <c r="E249" s="1" t="s">
        <v>26</v>
      </c>
      <c r="F249" s="2">
        <v>45786</v>
      </c>
      <c r="G249" s="1">
        <v>2025</v>
      </c>
      <c r="H249" s="1" t="s">
        <v>7</v>
      </c>
      <c r="I249" s="1" t="s">
        <v>127</v>
      </c>
      <c r="J249" s="1">
        <f t="shared" si="12"/>
        <v>0</v>
      </c>
      <c r="K249" s="7">
        <v>20000</v>
      </c>
      <c r="L249" s="7">
        <f t="shared" si="14"/>
        <v>0</v>
      </c>
      <c r="M249" s="7">
        <f t="shared" si="13"/>
        <v>20000</v>
      </c>
      <c r="N249" s="9">
        <v>6</v>
      </c>
      <c r="O249" s="9">
        <v>2025</v>
      </c>
      <c r="P249" s="1">
        <v>1</v>
      </c>
      <c r="Q249" s="1" t="s">
        <v>33</v>
      </c>
      <c r="R249" s="1">
        <v>42883</v>
      </c>
      <c r="T249" s="1" t="s">
        <v>36</v>
      </c>
    </row>
    <row r="250" spans="1:21" x14ac:dyDescent="0.25">
      <c r="A250" s="1" t="s">
        <v>225</v>
      </c>
      <c r="B250" s="1">
        <v>12</v>
      </c>
      <c r="C250" s="1" t="s">
        <v>521</v>
      </c>
      <c r="D250" s="1" t="s">
        <v>522</v>
      </c>
      <c r="E250" s="1" t="s">
        <v>26</v>
      </c>
      <c r="F250" s="2">
        <v>45786</v>
      </c>
      <c r="G250" s="1">
        <v>2025</v>
      </c>
      <c r="H250" s="1" t="s">
        <v>8</v>
      </c>
      <c r="I250" s="1" t="s">
        <v>127</v>
      </c>
      <c r="J250" s="1">
        <f t="shared" si="12"/>
        <v>0</v>
      </c>
      <c r="K250" s="7">
        <v>20000</v>
      </c>
      <c r="L250" s="7">
        <f t="shared" si="14"/>
        <v>0</v>
      </c>
      <c r="M250" s="7">
        <f t="shared" si="13"/>
        <v>20000</v>
      </c>
      <c r="N250" s="9">
        <v>7</v>
      </c>
      <c r="O250" s="9">
        <v>2025</v>
      </c>
      <c r="P250" s="1">
        <v>1</v>
      </c>
      <c r="Q250" s="1" t="s">
        <v>33</v>
      </c>
      <c r="R250" s="1">
        <v>42883</v>
      </c>
      <c r="T250" s="1" t="s">
        <v>36</v>
      </c>
    </row>
    <row r="251" spans="1:21" x14ac:dyDescent="0.25">
      <c r="A251" s="1" t="s">
        <v>226</v>
      </c>
      <c r="B251" s="1">
        <v>12</v>
      </c>
      <c r="C251" s="1" t="s">
        <v>521</v>
      </c>
      <c r="D251" s="1" t="s">
        <v>522</v>
      </c>
      <c r="E251" s="1" t="s">
        <v>26</v>
      </c>
      <c r="F251" s="2">
        <v>45786</v>
      </c>
      <c r="G251" s="1">
        <v>2025</v>
      </c>
      <c r="H251" s="1" t="s">
        <v>9</v>
      </c>
      <c r="I251" s="1" t="s">
        <v>127</v>
      </c>
      <c r="J251" s="1">
        <f t="shared" si="12"/>
        <v>0</v>
      </c>
      <c r="K251" s="7">
        <v>20000</v>
      </c>
      <c r="L251" s="7">
        <f t="shared" si="14"/>
        <v>0</v>
      </c>
      <c r="M251" s="7">
        <f t="shared" si="13"/>
        <v>20000</v>
      </c>
      <c r="N251" s="9">
        <v>8</v>
      </c>
      <c r="O251" s="9">
        <v>2025</v>
      </c>
      <c r="P251" s="1">
        <v>1</v>
      </c>
      <c r="Q251" s="1" t="s">
        <v>33</v>
      </c>
      <c r="R251" s="1">
        <v>42883</v>
      </c>
      <c r="T251" s="1" t="s">
        <v>36</v>
      </c>
    </row>
    <row r="252" spans="1:21" x14ac:dyDescent="0.25">
      <c r="A252" s="1" t="s">
        <v>227</v>
      </c>
      <c r="B252" s="1">
        <v>12</v>
      </c>
      <c r="C252" s="1" t="s">
        <v>521</v>
      </c>
      <c r="D252" s="1" t="s">
        <v>522</v>
      </c>
      <c r="E252" s="1" t="s">
        <v>26</v>
      </c>
      <c r="F252" s="2">
        <v>45786</v>
      </c>
      <c r="G252" s="1">
        <v>2025</v>
      </c>
      <c r="H252" s="1" t="s">
        <v>10</v>
      </c>
      <c r="I252" s="1" t="s">
        <v>127</v>
      </c>
      <c r="J252" s="1">
        <f t="shared" ref="J252:J315" si="15">0*0</f>
        <v>0</v>
      </c>
      <c r="K252" s="7">
        <v>20000</v>
      </c>
      <c r="L252" s="7">
        <f t="shared" si="14"/>
        <v>0</v>
      </c>
      <c r="M252" s="7">
        <f t="shared" si="13"/>
        <v>20000</v>
      </c>
      <c r="N252" s="9">
        <v>9</v>
      </c>
      <c r="O252" s="9">
        <v>2025</v>
      </c>
      <c r="P252" s="1">
        <v>1</v>
      </c>
      <c r="Q252" s="1" t="s">
        <v>33</v>
      </c>
      <c r="R252" s="1">
        <v>42883</v>
      </c>
      <c r="T252" s="1" t="s">
        <v>36</v>
      </c>
    </row>
    <row r="253" spans="1:21" x14ac:dyDescent="0.25">
      <c r="A253" s="1" t="s">
        <v>228</v>
      </c>
      <c r="B253" s="1">
        <v>12</v>
      </c>
      <c r="C253" s="1" t="s">
        <v>521</v>
      </c>
      <c r="D253" s="1" t="s">
        <v>522</v>
      </c>
      <c r="E253" s="1" t="s">
        <v>26</v>
      </c>
      <c r="F253" s="2">
        <v>45786</v>
      </c>
      <c r="G253" s="1">
        <v>2025</v>
      </c>
      <c r="H253" s="1" t="s">
        <v>14</v>
      </c>
      <c r="I253" s="1" t="s">
        <v>127</v>
      </c>
      <c r="J253" s="1">
        <f t="shared" si="15"/>
        <v>0</v>
      </c>
      <c r="K253" s="7">
        <v>20000</v>
      </c>
      <c r="L253" s="7">
        <f t="shared" si="14"/>
        <v>0</v>
      </c>
      <c r="M253" s="7">
        <f t="shared" si="13"/>
        <v>20000</v>
      </c>
      <c r="N253" s="9">
        <v>10</v>
      </c>
      <c r="O253" s="9">
        <v>2025</v>
      </c>
      <c r="P253" s="1">
        <v>1</v>
      </c>
      <c r="Q253" s="1" t="s">
        <v>33</v>
      </c>
      <c r="R253" s="1">
        <v>42883</v>
      </c>
      <c r="T253" s="1" t="s">
        <v>36</v>
      </c>
    </row>
    <row r="254" spans="1:21" x14ac:dyDescent="0.25">
      <c r="A254" s="1" t="s">
        <v>229</v>
      </c>
      <c r="B254" s="1">
        <v>12</v>
      </c>
      <c r="C254" s="1" t="s">
        <v>521</v>
      </c>
      <c r="D254" s="1" t="s">
        <v>522</v>
      </c>
      <c r="E254" s="1" t="s">
        <v>26</v>
      </c>
      <c r="F254" s="2">
        <v>45786</v>
      </c>
      <c r="G254" s="1">
        <v>2025</v>
      </c>
      <c r="H254" s="1" t="s">
        <v>17</v>
      </c>
      <c r="I254" s="1" t="s">
        <v>127</v>
      </c>
      <c r="J254" s="1">
        <f t="shared" si="15"/>
        <v>0</v>
      </c>
      <c r="K254" s="7">
        <v>20000</v>
      </c>
      <c r="L254" s="7">
        <f t="shared" si="14"/>
        <v>0</v>
      </c>
      <c r="M254" s="7">
        <f t="shared" si="13"/>
        <v>20000</v>
      </c>
      <c r="N254" s="9">
        <v>11</v>
      </c>
      <c r="O254" s="9">
        <v>2025</v>
      </c>
      <c r="P254" s="1">
        <v>1</v>
      </c>
      <c r="Q254" s="1" t="s">
        <v>33</v>
      </c>
      <c r="R254" s="1">
        <v>42883</v>
      </c>
      <c r="T254" s="1" t="s">
        <v>36</v>
      </c>
    </row>
    <row r="255" spans="1:21" x14ac:dyDescent="0.25">
      <c r="A255" s="1" t="s">
        <v>230</v>
      </c>
      <c r="B255" s="1">
        <v>12</v>
      </c>
      <c r="C255" s="1" t="s">
        <v>521</v>
      </c>
      <c r="D255" s="1" t="s">
        <v>522</v>
      </c>
      <c r="E255" s="1" t="s">
        <v>26</v>
      </c>
      <c r="F255" s="2">
        <v>45786</v>
      </c>
      <c r="G255" s="1">
        <v>2025</v>
      </c>
      <c r="H255" s="1" t="s">
        <v>16</v>
      </c>
      <c r="I255" s="1" t="s">
        <v>127</v>
      </c>
      <c r="J255" s="1">
        <f t="shared" si="15"/>
        <v>0</v>
      </c>
      <c r="K255" s="7">
        <v>20000</v>
      </c>
      <c r="L255" s="7">
        <f t="shared" si="14"/>
        <v>0</v>
      </c>
      <c r="M255" s="7">
        <f t="shared" si="13"/>
        <v>20000</v>
      </c>
      <c r="N255" s="9">
        <v>12</v>
      </c>
      <c r="O255" s="9">
        <v>2025</v>
      </c>
      <c r="P255" s="1">
        <v>1</v>
      </c>
      <c r="Q255" s="1" t="s">
        <v>33</v>
      </c>
      <c r="R255" s="1">
        <v>42883</v>
      </c>
      <c r="T255" s="1" t="s">
        <v>36</v>
      </c>
    </row>
    <row r="256" spans="1:21" x14ac:dyDescent="0.25">
      <c r="A256" s="1" t="s">
        <v>213</v>
      </c>
      <c r="B256" s="1">
        <v>20</v>
      </c>
      <c r="C256" s="1" t="s">
        <v>520</v>
      </c>
      <c r="D256" s="1" t="s">
        <v>410</v>
      </c>
      <c r="E256" s="1" t="s">
        <v>26</v>
      </c>
      <c r="F256" s="2">
        <v>45786</v>
      </c>
      <c r="G256" s="1">
        <v>2025</v>
      </c>
      <c r="H256" s="1" t="s">
        <v>6</v>
      </c>
      <c r="I256" s="1" t="s">
        <v>127</v>
      </c>
      <c r="J256" s="1">
        <f t="shared" si="15"/>
        <v>0</v>
      </c>
      <c r="K256" s="7">
        <v>20000</v>
      </c>
      <c r="L256" s="7">
        <f t="shared" si="14"/>
        <v>0</v>
      </c>
      <c r="M256" s="7">
        <f t="shared" si="13"/>
        <v>20000</v>
      </c>
      <c r="N256" s="9">
        <v>5</v>
      </c>
      <c r="O256" s="9">
        <v>2025</v>
      </c>
      <c r="P256" s="1">
        <v>1</v>
      </c>
      <c r="Q256" s="1" t="s">
        <v>33</v>
      </c>
      <c r="R256" s="1">
        <v>42883</v>
      </c>
      <c r="T256" s="1" t="s">
        <v>36</v>
      </c>
    </row>
    <row r="257" spans="1:21" x14ac:dyDescent="0.25">
      <c r="A257" s="1" t="s">
        <v>214</v>
      </c>
      <c r="B257" s="1">
        <v>20</v>
      </c>
      <c r="C257" s="1" t="s">
        <v>520</v>
      </c>
      <c r="D257" s="1" t="s">
        <v>410</v>
      </c>
      <c r="E257" s="1" t="s">
        <v>26</v>
      </c>
      <c r="F257" s="2">
        <v>45786</v>
      </c>
      <c r="G257" s="1">
        <v>2025</v>
      </c>
      <c r="H257" s="1" t="s">
        <v>6</v>
      </c>
      <c r="I257" s="1" t="s">
        <v>127</v>
      </c>
      <c r="J257" s="1">
        <f t="shared" si="15"/>
        <v>0</v>
      </c>
      <c r="K257" s="7">
        <v>40000</v>
      </c>
      <c r="L257" s="7">
        <f t="shared" si="14"/>
        <v>0</v>
      </c>
      <c r="M257" s="7">
        <f t="shared" si="13"/>
        <v>40000</v>
      </c>
      <c r="N257" s="9">
        <v>5</v>
      </c>
      <c r="O257" s="9">
        <v>2025</v>
      </c>
      <c r="P257" s="1">
        <v>1</v>
      </c>
      <c r="Q257" s="1" t="s">
        <v>33</v>
      </c>
      <c r="R257" s="1">
        <v>42883</v>
      </c>
      <c r="T257" s="1" t="s">
        <v>36</v>
      </c>
      <c r="U257" s="1" t="s">
        <v>162</v>
      </c>
    </row>
    <row r="258" spans="1:21" x14ac:dyDescent="0.25">
      <c r="A258" s="1" t="s">
        <v>215</v>
      </c>
      <c r="B258" s="1">
        <v>20</v>
      </c>
      <c r="C258" s="1" t="s">
        <v>520</v>
      </c>
      <c r="D258" s="1" t="s">
        <v>410</v>
      </c>
      <c r="E258" s="1" t="s">
        <v>26</v>
      </c>
      <c r="F258" s="2">
        <v>45786</v>
      </c>
      <c r="G258" s="1">
        <v>2025</v>
      </c>
      <c r="H258" s="1" t="s">
        <v>7</v>
      </c>
      <c r="I258" s="1" t="s">
        <v>127</v>
      </c>
      <c r="J258" s="1">
        <f t="shared" si="15"/>
        <v>0</v>
      </c>
      <c r="K258" s="7">
        <v>20000</v>
      </c>
      <c r="L258" s="7">
        <f t="shared" si="14"/>
        <v>0</v>
      </c>
      <c r="M258" s="7">
        <f t="shared" si="13"/>
        <v>20000</v>
      </c>
      <c r="N258" s="9">
        <v>6</v>
      </c>
      <c r="O258" s="9">
        <v>2025</v>
      </c>
      <c r="P258" s="1">
        <v>1</v>
      </c>
      <c r="Q258" s="1" t="s">
        <v>33</v>
      </c>
      <c r="R258" s="1">
        <v>42883</v>
      </c>
      <c r="T258" s="1" t="s">
        <v>36</v>
      </c>
    </row>
    <row r="259" spans="1:21" x14ac:dyDescent="0.25">
      <c r="A259" s="1" t="s">
        <v>216</v>
      </c>
      <c r="B259" s="1">
        <v>20</v>
      </c>
      <c r="C259" s="1" t="s">
        <v>520</v>
      </c>
      <c r="D259" s="1" t="s">
        <v>410</v>
      </c>
      <c r="E259" s="1" t="s">
        <v>26</v>
      </c>
      <c r="F259" s="2">
        <v>45786</v>
      </c>
      <c r="G259" s="1">
        <v>2025</v>
      </c>
      <c r="H259" s="1" t="s">
        <v>8</v>
      </c>
      <c r="I259" s="1" t="s">
        <v>127</v>
      </c>
      <c r="J259" s="1">
        <f t="shared" si="15"/>
        <v>0</v>
      </c>
      <c r="K259" s="7">
        <v>20000</v>
      </c>
      <c r="L259" s="7">
        <f t="shared" si="14"/>
        <v>0</v>
      </c>
      <c r="M259" s="7">
        <f t="shared" si="13"/>
        <v>20000</v>
      </c>
      <c r="N259" s="9">
        <v>7</v>
      </c>
      <c r="O259" s="9">
        <v>2025</v>
      </c>
      <c r="P259" s="1">
        <v>1</v>
      </c>
      <c r="Q259" s="1" t="s">
        <v>33</v>
      </c>
      <c r="R259" s="1">
        <v>42883</v>
      </c>
      <c r="T259" s="1" t="s">
        <v>36</v>
      </c>
    </row>
    <row r="260" spans="1:21" x14ac:dyDescent="0.25">
      <c r="A260" s="1" t="s">
        <v>217</v>
      </c>
      <c r="B260" s="1">
        <v>20</v>
      </c>
      <c r="C260" s="1" t="s">
        <v>520</v>
      </c>
      <c r="D260" s="1" t="s">
        <v>410</v>
      </c>
      <c r="E260" s="1" t="s">
        <v>26</v>
      </c>
      <c r="F260" s="2">
        <v>45786</v>
      </c>
      <c r="G260" s="1">
        <v>2025</v>
      </c>
      <c r="H260" s="1" t="s">
        <v>9</v>
      </c>
      <c r="I260" s="1" t="s">
        <v>127</v>
      </c>
      <c r="J260" s="1">
        <f t="shared" si="15"/>
        <v>0</v>
      </c>
      <c r="K260" s="7">
        <v>20000</v>
      </c>
      <c r="L260" s="7">
        <f t="shared" si="14"/>
        <v>0</v>
      </c>
      <c r="M260" s="7">
        <f t="shared" si="13"/>
        <v>20000</v>
      </c>
      <c r="N260" s="9">
        <v>8</v>
      </c>
      <c r="O260" s="9">
        <v>2025</v>
      </c>
      <c r="P260" s="1">
        <v>1</v>
      </c>
      <c r="Q260" s="1" t="s">
        <v>33</v>
      </c>
      <c r="R260" s="1">
        <v>42883</v>
      </c>
      <c r="T260" s="1" t="s">
        <v>36</v>
      </c>
    </row>
    <row r="261" spans="1:21" x14ac:dyDescent="0.25">
      <c r="A261" s="1" t="s">
        <v>218</v>
      </c>
      <c r="B261" s="1">
        <v>20</v>
      </c>
      <c r="C261" s="1" t="s">
        <v>520</v>
      </c>
      <c r="D261" s="1" t="s">
        <v>410</v>
      </c>
      <c r="E261" s="1" t="s">
        <v>26</v>
      </c>
      <c r="F261" s="2">
        <v>45786</v>
      </c>
      <c r="G261" s="1">
        <v>2025</v>
      </c>
      <c r="H261" s="1" t="s">
        <v>10</v>
      </c>
      <c r="I261" s="1" t="s">
        <v>127</v>
      </c>
      <c r="J261" s="1">
        <f t="shared" si="15"/>
        <v>0</v>
      </c>
      <c r="K261" s="7">
        <v>20000</v>
      </c>
      <c r="L261" s="7">
        <f t="shared" si="14"/>
        <v>0</v>
      </c>
      <c r="M261" s="7">
        <f t="shared" si="13"/>
        <v>20000</v>
      </c>
      <c r="N261" s="9">
        <v>9</v>
      </c>
      <c r="O261" s="9">
        <v>2025</v>
      </c>
      <c r="P261" s="1">
        <v>1</v>
      </c>
      <c r="Q261" s="1" t="s">
        <v>33</v>
      </c>
      <c r="R261" s="1">
        <v>42883</v>
      </c>
      <c r="T261" s="1" t="s">
        <v>36</v>
      </c>
    </row>
    <row r="262" spans="1:21" x14ac:dyDescent="0.25">
      <c r="A262" s="1" t="s">
        <v>219</v>
      </c>
      <c r="B262" s="1">
        <v>20</v>
      </c>
      <c r="C262" s="1" t="s">
        <v>520</v>
      </c>
      <c r="D262" s="1" t="s">
        <v>410</v>
      </c>
      <c r="E262" s="1" t="s">
        <v>26</v>
      </c>
      <c r="F262" s="2">
        <v>45786</v>
      </c>
      <c r="G262" s="1">
        <v>2025</v>
      </c>
      <c r="H262" s="1" t="s">
        <v>14</v>
      </c>
      <c r="I262" s="1" t="s">
        <v>127</v>
      </c>
      <c r="J262" s="1">
        <f t="shared" si="15"/>
        <v>0</v>
      </c>
      <c r="K262" s="7">
        <v>20000</v>
      </c>
      <c r="L262" s="7">
        <f t="shared" si="14"/>
        <v>0</v>
      </c>
      <c r="M262" s="7">
        <f t="shared" si="13"/>
        <v>20000</v>
      </c>
      <c r="N262" s="9">
        <v>10</v>
      </c>
      <c r="O262" s="9">
        <v>2025</v>
      </c>
      <c r="P262" s="1">
        <v>1</v>
      </c>
      <c r="Q262" s="1" t="s">
        <v>33</v>
      </c>
      <c r="R262" s="1">
        <v>42883</v>
      </c>
      <c r="T262" s="1" t="s">
        <v>36</v>
      </c>
    </row>
    <row r="263" spans="1:21" x14ac:dyDescent="0.25">
      <c r="A263" s="1" t="s">
        <v>220</v>
      </c>
      <c r="B263" s="1">
        <v>20</v>
      </c>
      <c r="C263" s="1" t="s">
        <v>520</v>
      </c>
      <c r="D263" s="1" t="s">
        <v>410</v>
      </c>
      <c r="E263" s="1" t="s">
        <v>26</v>
      </c>
      <c r="F263" s="2">
        <v>45786</v>
      </c>
      <c r="G263" s="1">
        <v>2025</v>
      </c>
      <c r="H263" s="1" t="s">
        <v>17</v>
      </c>
      <c r="I263" s="1" t="s">
        <v>127</v>
      </c>
      <c r="J263" s="1">
        <f t="shared" si="15"/>
        <v>0</v>
      </c>
      <c r="K263" s="7">
        <v>20000</v>
      </c>
      <c r="L263" s="7">
        <f t="shared" si="14"/>
        <v>0</v>
      </c>
      <c r="M263" s="7">
        <f t="shared" si="13"/>
        <v>20000</v>
      </c>
      <c r="N263" s="9">
        <v>11</v>
      </c>
      <c r="O263" s="9">
        <v>2025</v>
      </c>
      <c r="P263" s="1">
        <v>1</v>
      </c>
      <c r="Q263" s="1" t="s">
        <v>33</v>
      </c>
      <c r="R263" s="1">
        <v>42883</v>
      </c>
      <c r="T263" s="1" t="s">
        <v>36</v>
      </c>
    </row>
    <row r="264" spans="1:21" x14ac:dyDescent="0.25">
      <c r="A264" s="1" t="s">
        <v>221</v>
      </c>
      <c r="B264" s="1">
        <v>20</v>
      </c>
      <c r="C264" s="1" t="s">
        <v>520</v>
      </c>
      <c r="D264" s="1" t="s">
        <v>410</v>
      </c>
      <c r="E264" s="1" t="s">
        <v>26</v>
      </c>
      <c r="F264" s="2">
        <v>45786</v>
      </c>
      <c r="G264" s="1">
        <v>2025</v>
      </c>
      <c r="H264" s="1" t="s">
        <v>16</v>
      </c>
      <c r="I264" s="1" t="s">
        <v>127</v>
      </c>
      <c r="J264" s="1">
        <f t="shared" si="15"/>
        <v>0</v>
      </c>
      <c r="K264" s="7">
        <v>20000</v>
      </c>
      <c r="L264" s="7">
        <f t="shared" si="14"/>
        <v>0</v>
      </c>
      <c r="M264" s="7">
        <f t="shared" si="13"/>
        <v>20000</v>
      </c>
      <c r="N264" s="9">
        <v>12</v>
      </c>
      <c r="O264" s="9">
        <v>2025</v>
      </c>
      <c r="P264" s="1">
        <v>1</v>
      </c>
      <c r="Q264" s="1" t="s">
        <v>33</v>
      </c>
      <c r="R264" s="1">
        <v>42883</v>
      </c>
      <c r="T264" s="1" t="s">
        <v>36</v>
      </c>
    </row>
    <row r="265" spans="1:21" x14ac:dyDescent="0.25">
      <c r="A265" s="1" t="s">
        <v>211</v>
      </c>
      <c r="B265" s="1">
        <v>7</v>
      </c>
      <c r="C265" s="1" t="s">
        <v>514</v>
      </c>
      <c r="D265" s="1" t="s">
        <v>515</v>
      </c>
      <c r="E265" s="1" t="s">
        <v>26</v>
      </c>
      <c r="F265" s="2">
        <v>45786</v>
      </c>
      <c r="G265" s="1">
        <v>2025</v>
      </c>
      <c r="H265" s="1" t="s">
        <v>6</v>
      </c>
      <c r="I265" s="1" t="s">
        <v>127</v>
      </c>
      <c r="J265" s="1">
        <f t="shared" si="15"/>
        <v>0</v>
      </c>
      <c r="K265" s="7">
        <v>50000</v>
      </c>
      <c r="L265" s="7">
        <v>0</v>
      </c>
      <c r="M265" s="7">
        <f t="shared" si="13"/>
        <v>50000</v>
      </c>
      <c r="N265" s="9">
        <v>5</v>
      </c>
      <c r="O265" s="9">
        <v>2025</v>
      </c>
      <c r="P265" s="1">
        <v>1</v>
      </c>
      <c r="Q265" s="10" t="s">
        <v>80</v>
      </c>
      <c r="R265" s="1">
        <v>4209172</v>
      </c>
      <c r="S265" s="1">
        <v>9030</v>
      </c>
      <c r="T265" s="1" t="s">
        <v>36</v>
      </c>
    </row>
    <row r="266" spans="1:21" x14ac:dyDescent="0.25">
      <c r="A266" s="1" t="s">
        <v>212</v>
      </c>
      <c r="B266" s="1">
        <v>2</v>
      </c>
      <c r="C266" s="1" t="s">
        <v>414</v>
      </c>
      <c r="D266" s="1" t="s">
        <v>410</v>
      </c>
      <c r="E266" s="1" t="s">
        <v>26</v>
      </c>
      <c r="F266" s="2">
        <v>45786</v>
      </c>
      <c r="G266" s="1">
        <v>2025</v>
      </c>
      <c r="H266" s="1" t="s">
        <v>6</v>
      </c>
      <c r="I266" s="1" t="s">
        <v>127</v>
      </c>
      <c r="J266" s="1">
        <f t="shared" si="15"/>
        <v>0</v>
      </c>
      <c r="K266" s="7">
        <v>50000</v>
      </c>
      <c r="L266" s="7">
        <v>0</v>
      </c>
      <c r="M266" s="7">
        <f t="shared" si="13"/>
        <v>50000</v>
      </c>
      <c r="N266" s="9">
        <v>5</v>
      </c>
      <c r="O266" s="9">
        <v>2025</v>
      </c>
      <c r="P266" s="1">
        <v>1</v>
      </c>
      <c r="Q266" s="10" t="s">
        <v>80</v>
      </c>
      <c r="R266" s="1">
        <v>4213503</v>
      </c>
      <c r="S266" s="1">
        <v>8600</v>
      </c>
      <c r="T266" s="1" t="s">
        <v>36</v>
      </c>
    </row>
    <row r="267" spans="1:21" x14ac:dyDescent="0.25">
      <c r="A267" s="1" t="s">
        <v>210</v>
      </c>
      <c r="B267" s="1">
        <v>10</v>
      </c>
      <c r="C267" s="1" t="s">
        <v>345</v>
      </c>
      <c r="D267" s="1" t="s">
        <v>346</v>
      </c>
      <c r="E267" s="1" t="s">
        <v>26</v>
      </c>
      <c r="F267" s="2">
        <v>45785</v>
      </c>
      <c r="G267" s="1">
        <v>2025</v>
      </c>
      <c r="H267" s="1" t="s">
        <v>6</v>
      </c>
      <c r="I267" s="1" t="s">
        <v>127</v>
      </c>
      <c r="J267" s="1">
        <f t="shared" si="15"/>
        <v>0</v>
      </c>
      <c r="K267" s="7">
        <v>50000</v>
      </c>
      <c r="L267" s="7">
        <v>0</v>
      </c>
      <c r="M267" s="7">
        <f t="shared" si="13"/>
        <v>50000</v>
      </c>
      <c r="N267" s="9">
        <v>5</v>
      </c>
      <c r="O267" s="9">
        <v>2025</v>
      </c>
      <c r="P267" s="1">
        <v>1</v>
      </c>
      <c r="Q267" s="1" t="s">
        <v>84</v>
      </c>
      <c r="T267" s="1" t="s">
        <v>36</v>
      </c>
    </row>
    <row r="268" spans="1:21" x14ac:dyDescent="0.25">
      <c r="A268" s="1" t="s">
        <v>209</v>
      </c>
      <c r="B268" s="1">
        <v>9</v>
      </c>
      <c r="C268" s="1" t="s">
        <v>402</v>
      </c>
      <c r="D268" s="1" t="s">
        <v>346</v>
      </c>
      <c r="E268" s="1" t="s">
        <v>26</v>
      </c>
      <c r="F268" s="2">
        <v>45785</v>
      </c>
      <c r="G268" s="1">
        <v>2025</v>
      </c>
      <c r="H268" s="1" t="s">
        <v>6</v>
      </c>
      <c r="I268" s="1" t="s">
        <v>127</v>
      </c>
      <c r="J268" s="1">
        <f t="shared" si="15"/>
        <v>0</v>
      </c>
      <c r="K268" s="7">
        <v>100000</v>
      </c>
      <c r="L268" s="7">
        <v>0</v>
      </c>
      <c r="M268" s="7">
        <f t="shared" si="13"/>
        <v>100000</v>
      </c>
      <c r="N268" s="9">
        <v>5</v>
      </c>
      <c r="O268" s="9">
        <v>2025</v>
      </c>
      <c r="P268" s="1">
        <v>1</v>
      </c>
      <c r="Q268" s="1" t="s">
        <v>84</v>
      </c>
      <c r="T268" s="1" t="s">
        <v>36</v>
      </c>
    </row>
    <row r="269" spans="1:21" x14ac:dyDescent="0.25">
      <c r="A269" s="1" t="s">
        <v>201</v>
      </c>
      <c r="B269" s="1">
        <v>13</v>
      </c>
      <c r="C269" s="1" t="s">
        <v>398</v>
      </c>
      <c r="D269" s="1" t="s">
        <v>399</v>
      </c>
      <c r="E269" s="1" t="s">
        <v>26</v>
      </c>
      <c r="F269" s="2">
        <v>45782</v>
      </c>
      <c r="G269" s="1">
        <v>2025</v>
      </c>
      <c r="H269" s="1" t="s">
        <v>6</v>
      </c>
      <c r="I269" s="1" t="s">
        <v>127</v>
      </c>
      <c r="J269" s="1">
        <f t="shared" si="15"/>
        <v>0</v>
      </c>
      <c r="K269" s="7">
        <v>50000</v>
      </c>
      <c r="L269" s="7">
        <v>0</v>
      </c>
      <c r="M269" s="7">
        <f t="shared" si="13"/>
        <v>50000</v>
      </c>
      <c r="N269" s="9">
        <v>5</v>
      </c>
      <c r="O269" s="9">
        <v>2025</v>
      </c>
      <c r="P269" s="1">
        <v>1</v>
      </c>
      <c r="Q269" s="1" t="s">
        <v>39</v>
      </c>
      <c r="R269" s="5" t="s">
        <v>202</v>
      </c>
      <c r="T269" s="1" t="s">
        <v>36</v>
      </c>
    </row>
    <row r="270" spans="1:21" x14ac:dyDescent="0.25">
      <c r="A270" s="1" t="s">
        <v>205</v>
      </c>
      <c r="B270" s="1">
        <v>6</v>
      </c>
      <c r="C270" s="1" t="s">
        <v>415</v>
      </c>
      <c r="D270" s="1" t="s">
        <v>416</v>
      </c>
      <c r="E270" s="1" t="s">
        <v>26</v>
      </c>
      <c r="F270" s="2">
        <v>45782</v>
      </c>
      <c r="G270" s="1">
        <v>2025</v>
      </c>
      <c r="H270" s="1" t="s">
        <v>6</v>
      </c>
      <c r="I270" s="1" t="s">
        <v>127</v>
      </c>
      <c r="J270" s="1">
        <f t="shared" si="15"/>
        <v>0</v>
      </c>
      <c r="K270" s="7">
        <v>20000</v>
      </c>
      <c r="L270" s="7">
        <v>0</v>
      </c>
      <c r="M270" s="7">
        <f t="shared" si="13"/>
        <v>20000</v>
      </c>
      <c r="N270" s="9">
        <v>5</v>
      </c>
      <c r="O270" s="9">
        <v>2025</v>
      </c>
      <c r="P270" s="1">
        <v>1</v>
      </c>
      <c r="Q270" s="10" t="s">
        <v>84</v>
      </c>
      <c r="T270" s="1" t="s">
        <v>36</v>
      </c>
    </row>
    <row r="271" spans="1:21" x14ac:dyDescent="0.25">
      <c r="A271" s="1" t="s">
        <v>206</v>
      </c>
      <c r="B271" s="1">
        <v>6</v>
      </c>
      <c r="C271" s="1" t="s">
        <v>415</v>
      </c>
      <c r="D271" s="1" t="s">
        <v>416</v>
      </c>
      <c r="E271" s="1" t="s">
        <v>26</v>
      </c>
      <c r="F271" s="2">
        <v>45782</v>
      </c>
      <c r="G271" s="1">
        <v>2025</v>
      </c>
      <c r="H271" s="1" t="s">
        <v>7</v>
      </c>
      <c r="I271" s="1" t="s">
        <v>127</v>
      </c>
      <c r="J271" s="1">
        <f t="shared" si="15"/>
        <v>0</v>
      </c>
      <c r="K271" s="7">
        <v>20000</v>
      </c>
      <c r="L271" s="7">
        <v>0</v>
      </c>
      <c r="M271" s="7">
        <f t="shared" si="13"/>
        <v>20000</v>
      </c>
      <c r="N271" s="9">
        <v>6</v>
      </c>
      <c r="O271" s="9">
        <v>2025</v>
      </c>
      <c r="P271" s="1">
        <v>1</v>
      </c>
      <c r="Q271" s="10" t="s">
        <v>84</v>
      </c>
      <c r="T271" s="1" t="s">
        <v>36</v>
      </c>
    </row>
    <row r="272" spans="1:21" x14ac:dyDescent="0.25">
      <c r="A272" s="1" t="s">
        <v>203</v>
      </c>
      <c r="B272" s="1">
        <v>11</v>
      </c>
      <c r="C272" s="1" t="s">
        <v>417</v>
      </c>
      <c r="D272" s="1" t="s">
        <v>410</v>
      </c>
      <c r="E272" s="1" t="s">
        <v>26</v>
      </c>
      <c r="F272" s="2">
        <v>45782</v>
      </c>
      <c r="G272" s="1">
        <v>2025</v>
      </c>
      <c r="H272" s="1" t="s">
        <v>5</v>
      </c>
      <c r="I272" s="1" t="s">
        <v>127</v>
      </c>
      <c r="J272" s="1">
        <f t="shared" si="15"/>
        <v>0</v>
      </c>
      <c r="K272" s="7">
        <v>20000</v>
      </c>
      <c r="L272" s="7">
        <f>1000*J272</f>
        <v>0</v>
      </c>
      <c r="M272" s="7">
        <f t="shared" si="13"/>
        <v>20000</v>
      </c>
      <c r="N272" s="9">
        <v>4</v>
      </c>
      <c r="O272" s="9">
        <v>2025</v>
      </c>
      <c r="P272" s="1">
        <v>1</v>
      </c>
      <c r="Q272" s="10" t="s">
        <v>84</v>
      </c>
      <c r="T272" s="1" t="s">
        <v>36</v>
      </c>
      <c r="U272" s="1" t="s">
        <v>342</v>
      </c>
    </row>
    <row r="273" spans="1:21" x14ac:dyDescent="0.25">
      <c r="A273" s="1" t="s">
        <v>204</v>
      </c>
      <c r="B273" s="1">
        <v>11</v>
      </c>
      <c r="C273" s="1" t="s">
        <v>417</v>
      </c>
      <c r="D273" s="1" t="s">
        <v>410</v>
      </c>
      <c r="E273" s="1" t="s">
        <v>26</v>
      </c>
      <c r="F273" s="2">
        <v>45782</v>
      </c>
      <c r="G273" s="1">
        <v>2025</v>
      </c>
      <c r="H273" s="1" t="s">
        <v>6</v>
      </c>
      <c r="I273" s="1" t="s">
        <v>127</v>
      </c>
      <c r="J273" s="1">
        <f t="shared" si="15"/>
        <v>0</v>
      </c>
      <c r="K273" s="7">
        <v>20000</v>
      </c>
      <c r="L273" s="7">
        <f>1000*J273</f>
        <v>0</v>
      </c>
      <c r="M273" s="7">
        <f t="shared" si="13"/>
        <v>20000</v>
      </c>
      <c r="N273" s="9">
        <v>5</v>
      </c>
      <c r="O273" s="9">
        <v>2025</v>
      </c>
      <c r="P273" s="1">
        <v>1</v>
      </c>
      <c r="Q273" s="10" t="s">
        <v>84</v>
      </c>
      <c r="T273" s="1" t="s">
        <v>36</v>
      </c>
    </row>
    <row r="274" spans="1:21" x14ac:dyDescent="0.25">
      <c r="A274" s="1" t="s">
        <v>199</v>
      </c>
      <c r="B274" s="1">
        <v>8</v>
      </c>
      <c r="C274" s="1" t="s">
        <v>409</v>
      </c>
      <c r="D274" s="1" t="s">
        <v>410</v>
      </c>
      <c r="E274" s="1" t="s">
        <v>26</v>
      </c>
      <c r="F274" s="2">
        <v>45782</v>
      </c>
      <c r="G274" s="1">
        <v>2025</v>
      </c>
      <c r="H274" s="1" t="s">
        <v>6</v>
      </c>
      <c r="I274" s="1" t="s">
        <v>127</v>
      </c>
      <c r="J274" s="1">
        <f t="shared" si="15"/>
        <v>0</v>
      </c>
      <c r="K274" s="7">
        <v>200000</v>
      </c>
      <c r="L274" s="7">
        <v>0</v>
      </c>
      <c r="M274" s="7">
        <f t="shared" ref="M274:M337" si="16">K274-L274</f>
        <v>200000</v>
      </c>
      <c r="N274" s="9">
        <v>5</v>
      </c>
      <c r="O274" s="9">
        <v>2025</v>
      </c>
      <c r="P274" s="1">
        <v>1</v>
      </c>
      <c r="Q274" s="1" t="s">
        <v>39</v>
      </c>
      <c r="R274" s="1" t="s">
        <v>200</v>
      </c>
      <c r="T274" s="1" t="s">
        <v>36</v>
      </c>
    </row>
    <row r="275" spans="1:21" x14ac:dyDescent="0.25">
      <c r="A275" s="1" t="s">
        <v>207</v>
      </c>
      <c r="B275" s="1">
        <v>5</v>
      </c>
      <c r="C275" s="1" t="s">
        <v>387</v>
      </c>
      <c r="D275" s="1" t="s">
        <v>339</v>
      </c>
      <c r="E275" s="1" t="s">
        <v>26</v>
      </c>
      <c r="F275" s="2">
        <v>45781</v>
      </c>
      <c r="G275" s="1">
        <v>2025</v>
      </c>
      <c r="H275" s="1" t="s">
        <v>6</v>
      </c>
      <c r="I275" s="1" t="s">
        <v>127</v>
      </c>
      <c r="J275" s="1">
        <f t="shared" si="15"/>
        <v>0</v>
      </c>
      <c r="K275" s="7">
        <v>18964.873249999946</v>
      </c>
      <c r="L275" s="7">
        <v>0</v>
      </c>
      <c r="M275" s="7">
        <f t="shared" si="16"/>
        <v>18964.873249999946</v>
      </c>
      <c r="N275" s="9">
        <v>5</v>
      </c>
      <c r="O275" s="9">
        <v>2025</v>
      </c>
      <c r="P275" s="1">
        <v>1</v>
      </c>
      <c r="Q275" s="1" t="s">
        <v>84</v>
      </c>
      <c r="S275" s="5"/>
      <c r="T275" s="1" t="s">
        <v>36</v>
      </c>
      <c r="U275" s="1" t="s">
        <v>208</v>
      </c>
    </row>
    <row r="276" spans="1:21" x14ac:dyDescent="0.25">
      <c r="A276" s="1" t="s">
        <v>198</v>
      </c>
      <c r="B276" s="1">
        <v>12</v>
      </c>
      <c r="C276" s="1" t="s">
        <v>521</v>
      </c>
      <c r="D276" s="1" t="s">
        <v>522</v>
      </c>
      <c r="E276" s="1" t="s">
        <v>26</v>
      </c>
      <c r="F276" s="2">
        <v>45763</v>
      </c>
      <c r="G276" s="1">
        <v>2025</v>
      </c>
      <c r="H276" s="1" t="s">
        <v>5</v>
      </c>
      <c r="I276" s="1" t="s">
        <v>134</v>
      </c>
      <c r="J276" s="1">
        <f t="shared" si="15"/>
        <v>0</v>
      </c>
      <c r="K276" s="7">
        <v>100000</v>
      </c>
      <c r="L276" s="7">
        <f>1000*J276</f>
        <v>0</v>
      </c>
      <c r="M276" s="7">
        <f t="shared" si="16"/>
        <v>100000</v>
      </c>
      <c r="N276" s="9">
        <v>4</v>
      </c>
      <c r="O276" s="9">
        <v>2025</v>
      </c>
      <c r="P276" s="1">
        <v>1</v>
      </c>
      <c r="Q276" s="1" t="s">
        <v>33</v>
      </c>
      <c r="R276" s="1">
        <v>23531</v>
      </c>
      <c r="S276" s="1">
        <v>6438</v>
      </c>
      <c r="T276" s="1" t="s">
        <v>36</v>
      </c>
      <c r="U276" s="1" t="s">
        <v>342</v>
      </c>
    </row>
    <row r="277" spans="1:21" x14ac:dyDescent="0.25">
      <c r="A277" s="1" t="s">
        <v>197</v>
      </c>
      <c r="B277" s="1">
        <v>20</v>
      </c>
      <c r="C277" s="1" t="s">
        <v>520</v>
      </c>
      <c r="D277" s="1" t="s">
        <v>410</v>
      </c>
      <c r="E277" s="1" t="s">
        <v>26</v>
      </c>
      <c r="F277" s="2">
        <v>45763</v>
      </c>
      <c r="G277" s="1">
        <v>2025</v>
      </c>
      <c r="H277" s="1" t="s">
        <v>5</v>
      </c>
      <c r="I277" s="1" t="s">
        <v>134</v>
      </c>
      <c r="J277" s="1">
        <f t="shared" si="15"/>
        <v>0</v>
      </c>
      <c r="K277" s="7">
        <v>100000</v>
      </c>
      <c r="L277" s="7">
        <f>1000*J277</f>
        <v>0</v>
      </c>
      <c r="M277" s="7">
        <f t="shared" si="16"/>
        <v>100000</v>
      </c>
      <c r="N277" s="9">
        <v>4</v>
      </c>
      <c r="O277" s="9">
        <v>2025</v>
      </c>
      <c r="P277" s="1">
        <v>1</v>
      </c>
      <c r="Q277" s="1" t="s">
        <v>33</v>
      </c>
      <c r="R277" s="1">
        <v>23531</v>
      </c>
      <c r="S277" s="1">
        <v>6438</v>
      </c>
      <c r="T277" s="1" t="s">
        <v>36</v>
      </c>
      <c r="U277" s="1" t="s">
        <v>342</v>
      </c>
    </row>
    <row r="278" spans="1:21" x14ac:dyDescent="0.25">
      <c r="A278" s="1" t="s">
        <v>196</v>
      </c>
      <c r="B278" s="1">
        <v>3</v>
      </c>
      <c r="C278" s="1" t="s">
        <v>472</v>
      </c>
      <c r="D278" s="1" t="s">
        <v>410</v>
      </c>
      <c r="E278" s="1" t="s">
        <v>26</v>
      </c>
      <c r="F278" s="2">
        <v>45761</v>
      </c>
      <c r="G278" s="1">
        <v>2025</v>
      </c>
      <c r="H278" s="1" t="s">
        <v>6</v>
      </c>
      <c r="I278" s="1" t="s">
        <v>127</v>
      </c>
      <c r="J278" s="1">
        <f t="shared" si="15"/>
        <v>0</v>
      </c>
      <c r="K278" s="7">
        <v>40000</v>
      </c>
      <c r="L278" s="7">
        <v>0</v>
      </c>
      <c r="M278" s="7">
        <f t="shared" si="16"/>
        <v>40000</v>
      </c>
      <c r="N278" s="9">
        <v>5</v>
      </c>
      <c r="O278" s="9">
        <v>2025</v>
      </c>
      <c r="P278" s="1">
        <v>1</v>
      </c>
      <c r="Q278" s="1" t="s">
        <v>90</v>
      </c>
      <c r="R278" s="1">
        <v>90424</v>
      </c>
      <c r="S278" s="1">
        <v>2014</v>
      </c>
      <c r="T278" s="1" t="s">
        <v>36</v>
      </c>
    </row>
    <row r="279" spans="1:21" x14ac:dyDescent="0.25">
      <c r="A279" s="1" t="s">
        <v>194</v>
      </c>
      <c r="B279" s="1">
        <v>7</v>
      </c>
      <c r="C279" s="1" t="s">
        <v>514</v>
      </c>
      <c r="D279" s="1" t="s">
        <v>515</v>
      </c>
      <c r="E279" s="1" t="s">
        <v>26</v>
      </c>
      <c r="F279" s="2">
        <v>45757</v>
      </c>
      <c r="G279" s="1">
        <v>2025</v>
      </c>
      <c r="H279" s="1" t="s">
        <v>5</v>
      </c>
      <c r="I279" s="1" t="s">
        <v>127</v>
      </c>
      <c r="J279" s="1">
        <f t="shared" si="15"/>
        <v>0</v>
      </c>
      <c r="K279" s="7">
        <v>50000</v>
      </c>
      <c r="L279" s="7">
        <v>0</v>
      </c>
      <c r="M279" s="7">
        <f t="shared" si="16"/>
        <v>50000</v>
      </c>
      <c r="N279" s="9">
        <v>4</v>
      </c>
      <c r="O279" s="9">
        <v>2025</v>
      </c>
      <c r="P279" s="1">
        <v>1</v>
      </c>
      <c r="Q279" s="10" t="s">
        <v>80</v>
      </c>
      <c r="R279" s="1">
        <v>1980859</v>
      </c>
      <c r="S279" s="1">
        <v>9030</v>
      </c>
      <c r="T279" s="1" t="s">
        <v>36</v>
      </c>
    </row>
    <row r="280" spans="1:21" x14ac:dyDescent="0.25">
      <c r="A280" s="1" t="s">
        <v>195</v>
      </c>
      <c r="B280" s="1">
        <v>2</v>
      </c>
      <c r="C280" s="1" t="s">
        <v>414</v>
      </c>
      <c r="D280" s="1" t="s">
        <v>410</v>
      </c>
      <c r="E280" s="1" t="s">
        <v>26</v>
      </c>
      <c r="F280" s="2">
        <v>45757</v>
      </c>
      <c r="G280" s="1">
        <v>2025</v>
      </c>
      <c r="H280" s="1" t="s">
        <v>5</v>
      </c>
      <c r="I280" s="1" t="s">
        <v>127</v>
      </c>
      <c r="J280" s="1">
        <f t="shared" si="15"/>
        <v>0</v>
      </c>
      <c r="K280" s="7">
        <v>50000</v>
      </c>
      <c r="L280" s="7">
        <v>0</v>
      </c>
      <c r="M280" s="7">
        <f t="shared" si="16"/>
        <v>50000</v>
      </c>
      <c r="N280" s="9">
        <v>4</v>
      </c>
      <c r="O280" s="9">
        <v>2025</v>
      </c>
      <c r="P280" s="1">
        <v>1</v>
      </c>
      <c r="Q280" s="10" t="s">
        <v>84</v>
      </c>
      <c r="T280" s="1" t="s">
        <v>36</v>
      </c>
    </row>
    <row r="281" spans="1:21" x14ac:dyDescent="0.25">
      <c r="A281" s="1" t="s">
        <v>192</v>
      </c>
      <c r="B281" s="1">
        <v>19</v>
      </c>
      <c r="C281" s="1" t="s">
        <v>338</v>
      </c>
      <c r="D281" s="1" t="s">
        <v>339</v>
      </c>
      <c r="E281" s="1" t="s">
        <v>26</v>
      </c>
      <c r="F281" s="2">
        <v>45755</v>
      </c>
      <c r="G281" s="1">
        <v>2025</v>
      </c>
      <c r="H281" s="1" t="s">
        <v>5</v>
      </c>
      <c r="I281" s="1" t="s">
        <v>127</v>
      </c>
      <c r="J281" s="1">
        <f t="shared" si="15"/>
        <v>0</v>
      </c>
      <c r="K281" s="7">
        <v>220000</v>
      </c>
      <c r="L281" s="7">
        <v>0</v>
      </c>
      <c r="M281" s="7">
        <f t="shared" si="16"/>
        <v>220000</v>
      </c>
      <c r="N281" s="9">
        <v>4</v>
      </c>
      <c r="O281" s="9">
        <v>2025</v>
      </c>
      <c r="P281" s="1">
        <v>1</v>
      </c>
      <c r="Q281" s="1" t="s">
        <v>39</v>
      </c>
      <c r="R281" s="1">
        <v>57361</v>
      </c>
      <c r="S281" s="1">
        <v>6852</v>
      </c>
      <c r="T281" s="1" t="s">
        <v>36</v>
      </c>
    </row>
    <row r="282" spans="1:21" x14ac:dyDescent="0.25">
      <c r="A282" s="1" t="s">
        <v>193</v>
      </c>
      <c r="B282" s="1">
        <v>19</v>
      </c>
      <c r="C282" s="1" t="s">
        <v>338</v>
      </c>
      <c r="D282" s="1" t="s">
        <v>339</v>
      </c>
      <c r="E282" s="1" t="s">
        <v>26</v>
      </c>
      <c r="F282" s="2">
        <v>45755</v>
      </c>
      <c r="G282" s="1">
        <v>2025</v>
      </c>
      <c r="H282" s="1" t="s">
        <v>6</v>
      </c>
      <c r="I282" s="1" t="s">
        <v>127</v>
      </c>
      <c r="J282" s="1">
        <f t="shared" si="15"/>
        <v>0</v>
      </c>
      <c r="K282" s="7">
        <v>220000</v>
      </c>
      <c r="L282" s="7">
        <v>0</v>
      </c>
      <c r="M282" s="7">
        <f t="shared" si="16"/>
        <v>220000</v>
      </c>
      <c r="N282" s="9">
        <v>5</v>
      </c>
      <c r="O282" s="9">
        <v>2025</v>
      </c>
      <c r="P282" s="1">
        <v>1</v>
      </c>
      <c r="Q282" s="1" t="s">
        <v>39</v>
      </c>
      <c r="R282" s="1">
        <v>57361</v>
      </c>
      <c r="S282" s="1">
        <v>6852</v>
      </c>
      <c r="T282" s="1" t="s">
        <v>36</v>
      </c>
    </row>
    <row r="283" spans="1:21" x14ac:dyDescent="0.25">
      <c r="A283" s="1" t="s">
        <v>190</v>
      </c>
      <c r="B283" s="1">
        <v>4</v>
      </c>
      <c r="C283" s="1" t="s">
        <v>525</v>
      </c>
      <c r="D283" s="1" t="s">
        <v>526</v>
      </c>
      <c r="E283" s="1" t="s">
        <v>26</v>
      </c>
      <c r="F283" s="2">
        <v>45754</v>
      </c>
      <c r="G283" s="1">
        <v>2025</v>
      </c>
      <c r="H283" s="1" t="s">
        <v>5</v>
      </c>
      <c r="I283" s="1" t="s">
        <v>127</v>
      </c>
      <c r="J283" s="1">
        <f t="shared" si="15"/>
        <v>0</v>
      </c>
      <c r="K283" s="7">
        <v>100000</v>
      </c>
      <c r="L283" s="7">
        <v>0</v>
      </c>
      <c r="M283" s="7">
        <f t="shared" si="16"/>
        <v>100000</v>
      </c>
      <c r="N283" s="9">
        <v>4</v>
      </c>
      <c r="O283" s="9">
        <v>2025</v>
      </c>
      <c r="P283" s="1">
        <v>1</v>
      </c>
      <c r="Q283" s="1" t="s">
        <v>39</v>
      </c>
      <c r="R283" s="1" t="s">
        <v>191</v>
      </c>
      <c r="T283" s="1" t="s">
        <v>36</v>
      </c>
    </row>
    <row r="284" spans="1:21" x14ac:dyDescent="0.25">
      <c r="A284" s="1" t="s">
        <v>188</v>
      </c>
      <c r="B284" s="1">
        <v>16</v>
      </c>
      <c r="C284" s="1" t="s">
        <v>422</v>
      </c>
      <c r="D284" s="1" t="s">
        <v>407</v>
      </c>
      <c r="E284" s="1" t="s">
        <v>26</v>
      </c>
      <c r="F284" s="2">
        <v>45754</v>
      </c>
      <c r="G284" s="1">
        <v>2025</v>
      </c>
      <c r="H284" s="1" t="s">
        <v>5</v>
      </c>
      <c r="I284" s="1" t="s">
        <v>127</v>
      </c>
      <c r="J284" s="1">
        <f t="shared" si="15"/>
        <v>0</v>
      </c>
      <c r="K284" s="7">
        <v>50000</v>
      </c>
      <c r="L284" s="7">
        <v>0</v>
      </c>
      <c r="M284" s="7">
        <f t="shared" si="16"/>
        <v>50000</v>
      </c>
      <c r="N284" s="9">
        <v>4</v>
      </c>
      <c r="O284" s="9">
        <v>2025</v>
      </c>
      <c r="P284" s="1">
        <v>1</v>
      </c>
      <c r="Q284" s="1" t="s">
        <v>39</v>
      </c>
      <c r="R284" s="1" t="s">
        <v>189</v>
      </c>
      <c r="T284" s="1" t="s">
        <v>36</v>
      </c>
    </row>
    <row r="285" spans="1:21" x14ac:dyDescent="0.25">
      <c r="A285" s="1" t="s">
        <v>186</v>
      </c>
      <c r="B285" s="1">
        <v>1</v>
      </c>
      <c r="C285" s="1" t="s">
        <v>527</v>
      </c>
      <c r="D285" s="1" t="s">
        <v>346</v>
      </c>
      <c r="E285" s="1" t="s">
        <v>26</v>
      </c>
      <c r="F285" s="2">
        <v>45754</v>
      </c>
      <c r="G285" s="1">
        <v>2025</v>
      </c>
      <c r="H285" s="1" t="s">
        <v>5</v>
      </c>
      <c r="I285" s="1" t="s">
        <v>127</v>
      </c>
      <c r="J285" s="1">
        <f t="shared" si="15"/>
        <v>0</v>
      </c>
      <c r="K285" s="7">
        <v>100000</v>
      </c>
      <c r="L285" s="7">
        <v>0</v>
      </c>
      <c r="M285" s="7">
        <f t="shared" si="16"/>
        <v>100000</v>
      </c>
      <c r="N285" s="9">
        <v>4</v>
      </c>
      <c r="O285" s="9">
        <v>2025</v>
      </c>
      <c r="P285" s="1">
        <v>1</v>
      </c>
      <c r="Q285" s="1" t="s">
        <v>39</v>
      </c>
      <c r="R285" s="1" t="s">
        <v>187</v>
      </c>
      <c r="S285" s="1" t="s">
        <v>120</v>
      </c>
      <c r="T285" s="1" t="s">
        <v>36</v>
      </c>
    </row>
    <row r="286" spans="1:21" x14ac:dyDescent="0.25">
      <c r="A286" s="1" t="s">
        <v>184</v>
      </c>
      <c r="B286" s="1">
        <v>13</v>
      </c>
      <c r="C286" s="1" t="s">
        <v>398</v>
      </c>
      <c r="D286" s="1" t="s">
        <v>399</v>
      </c>
      <c r="E286" s="1" t="s">
        <v>26</v>
      </c>
      <c r="F286" s="2">
        <v>45752</v>
      </c>
      <c r="G286" s="1">
        <v>2025</v>
      </c>
      <c r="H286" s="1" t="s">
        <v>5</v>
      </c>
      <c r="I286" s="1" t="s">
        <v>127</v>
      </c>
      <c r="J286" s="1">
        <f t="shared" si="15"/>
        <v>0</v>
      </c>
      <c r="K286" s="7">
        <v>50000</v>
      </c>
      <c r="L286" s="7">
        <v>0</v>
      </c>
      <c r="M286" s="7">
        <f t="shared" si="16"/>
        <v>50000</v>
      </c>
      <c r="N286" s="9">
        <v>4</v>
      </c>
      <c r="O286" s="9">
        <v>2025</v>
      </c>
      <c r="P286" s="1">
        <v>1</v>
      </c>
      <c r="Q286" s="1" t="s">
        <v>39</v>
      </c>
      <c r="R286" s="5" t="s">
        <v>185</v>
      </c>
      <c r="T286" s="1" t="s">
        <v>36</v>
      </c>
    </row>
    <row r="287" spans="1:21" x14ac:dyDescent="0.25">
      <c r="A287" s="1" t="s">
        <v>182</v>
      </c>
      <c r="B287" s="1">
        <v>10</v>
      </c>
      <c r="C287" s="1" t="s">
        <v>345</v>
      </c>
      <c r="D287" s="1" t="s">
        <v>346</v>
      </c>
      <c r="E287" s="1" t="s">
        <v>26</v>
      </c>
      <c r="F287" s="2">
        <v>45750</v>
      </c>
      <c r="G287" s="1">
        <v>2025</v>
      </c>
      <c r="H287" s="1" t="s">
        <v>5</v>
      </c>
      <c r="I287" s="1" t="s">
        <v>127</v>
      </c>
      <c r="J287" s="1">
        <f t="shared" si="15"/>
        <v>0</v>
      </c>
      <c r="K287" s="7">
        <v>50000</v>
      </c>
      <c r="L287" s="7">
        <v>0</v>
      </c>
      <c r="M287" s="7">
        <f t="shared" si="16"/>
        <v>50000</v>
      </c>
      <c r="N287" s="9">
        <v>4</v>
      </c>
      <c r="O287" s="9">
        <v>2025</v>
      </c>
      <c r="P287" s="1">
        <v>1</v>
      </c>
      <c r="Q287" s="1" t="s">
        <v>84</v>
      </c>
      <c r="T287" s="1" t="s">
        <v>36</v>
      </c>
    </row>
    <row r="288" spans="1:21" x14ac:dyDescent="0.25">
      <c r="A288" s="1" t="s">
        <v>183</v>
      </c>
      <c r="B288" s="1">
        <v>9</v>
      </c>
      <c r="C288" s="1" t="s">
        <v>402</v>
      </c>
      <c r="D288" s="1" t="s">
        <v>346</v>
      </c>
      <c r="E288" s="1" t="s">
        <v>26</v>
      </c>
      <c r="F288" s="2">
        <v>45750</v>
      </c>
      <c r="G288" s="1">
        <v>2025</v>
      </c>
      <c r="H288" s="1" t="s">
        <v>5</v>
      </c>
      <c r="I288" s="1" t="s">
        <v>127</v>
      </c>
      <c r="J288" s="1">
        <f t="shared" si="15"/>
        <v>0</v>
      </c>
      <c r="K288" s="7">
        <v>100000</v>
      </c>
      <c r="L288" s="7">
        <v>0</v>
      </c>
      <c r="M288" s="7">
        <f t="shared" si="16"/>
        <v>100000</v>
      </c>
      <c r="N288" s="9">
        <v>4</v>
      </c>
      <c r="O288" s="9">
        <v>2025</v>
      </c>
      <c r="P288" s="1">
        <v>1</v>
      </c>
      <c r="Q288" s="1" t="s">
        <v>84</v>
      </c>
      <c r="T288" s="1" t="s">
        <v>36</v>
      </c>
    </row>
    <row r="289" spans="1:21" x14ac:dyDescent="0.25">
      <c r="A289" s="1" t="s">
        <v>178</v>
      </c>
      <c r="B289" s="1">
        <v>12</v>
      </c>
      <c r="C289" s="1" t="s">
        <v>521</v>
      </c>
      <c r="D289" s="1" t="s">
        <v>522</v>
      </c>
      <c r="E289" s="1" t="s">
        <v>26</v>
      </c>
      <c r="F289" s="2">
        <v>45749</v>
      </c>
      <c r="G289" s="1">
        <v>2025</v>
      </c>
      <c r="H289" s="1" t="s">
        <v>4</v>
      </c>
      <c r="I289" s="1" t="s">
        <v>134</v>
      </c>
      <c r="J289" s="1">
        <f t="shared" si="15"/>
        <v>0</v>
      </c>
      <c r="K289" s="7">
        <v>100000</v>
      </c>
      <c r="L289" s="7">
        <f>1000*J289</f>
        <v>0</v>
      </c>
      <c r="M289" s="7">
        <f t="shared" si="16"/>
        <v>100000</v>
      </c>
      <c r="N289" s="9">
        <v>3</v>
      </c>
      <c r="O289" s="9">
        <v>2025</v>
      </c>
      <c r="P289" s="1">
        <v>1</v>
      </c>
      <c r="Q289" s="1" t="s">
        <v>33</v>
      </c>
      <c r="R289" s="1">
        <v>20282</v>
      </c>
      <c r="S289" s="1">
        <v>6438</v>
      </c>
      <c r="T289" s="1" t="s">
        <v>36</v>
      </c>
      <c r="U289" s="1" t="s">
        <v>342</v>
      </c>
    </row>
    <row r="290" spans="1:21" x14ac:dyDescent="0.25">
      <c r="A290" s="1" t="s">
        <v>177</v>
      </c>
      <c r="B290" s="1">
        <v>20</v>
      </c>
      <c r="C290" s="1" t="s">
        <v>520</v>
      </c>
      <c r="D290" s="1" t="s">
        <v>410</v>
      </c>
      <c r="E290" s="1" t="s">
        <v>26</v>
      </c>
      <c r="F290" s="2">
        <v>45749</v>
      </c>
      <c r="G290" s="1">
        <v>2025</v>
      </c>
      <c r="H290" s="1" t="s">
        <v>4</v>
      </c>
      <c r="I290" s="1" t="s">
        <v>134</v>
      </c>
      <c r="J290" s="1">
        <f t="shared" si="15"/>
        <v>0</v>
      </c>
      <c r="K290" s="7">
        <v>100000</v>
      </c>
      <c r="L290" s="7">
        <f>1000*J290</f>
        <v>0</v>
      </c>
      <c r="M290" s="7">
        <f t="shared" si="16"/>
        <v>100000</v>
      </c>
      <c r="N290" s="9">
        <v>3</v>
      </c>
      <c r="O290" s="9">
        <v>2025</v>
      </c>
      <c r="P290" s="1">
        <v>1</v>
      </c>
      <c r="Q290" s="1" t="s">
        <v>33</v>
      </c>
      <c r="R290" s="1">
        <v>20282</v>
      </c>
      <c r="S290" s="1">
        <v>6438</v>
      </c>
      <c r="T290" s="1" t="s">
        <v>36</v>
      </c>
      <c r="U290" s="1" t="s">
        <v>342</v>
      </c>
    </row>
    <row r="291" spans="1:21" x14ac:dyDescent="0.25">
      <c r="A291" s="1" t="s">
        <v>181</v>
      </c>
      <c r="B291" s="1">
        <v>18</v>
      </c>
      <c r="C291" s="1" t="s">
        <v>406</v>
      </c>
      <c r="D291" s="1" t="s">
        <v>407</v>
      </c>
      <c r="E291" s="1" t="s">
        <v>26</v>
      </c>
      <c r="F291" s="2">
        <v>45749</v>
      </c>
      <c r="G291" s="1">
        <v>2025</v>
      </c>
      <c r="H291" s="1" t="s">
        <v>4</v>
      </c>
      <c r="I291" s="1" t="s">
        <v>127</v>
      </c>
      <c r="J291" s="1">
        <f t="shared" si="15"/>
        <v>0</v>
      </c>
      <c r="K291" s="7">
        <v>500000</v>
      </c>
      <c r="L291" s="7">
        <f>1000*J291</f>
        <v>0</v>
      </c>
      <c r="M291" s="7">
        <f t="shared" si="16"/>
        <v>500000</v>
      </c>
      <c r="N291" s="9">
        <v>3</v>
      </c>
      <c r="O291" s="9">
        <v>2025</v>
      </c>
      <c r="P291" s="1">
        <v>1</v>
      </c>
      <c r="Q291" s="1" t="s">
        <v>33</v>
      </c>
      <c r="R291" s="1">
        <v>45442</v>
      </c>
      <c r="S291" s="1">
        <v>6820</v>
      </c>
      <c r="T291" s="1" t="s">
        <v>36</v>
      </c>
      <c r="U291" s="1" t="s">
        <v>163</v>
      </c>
    </row>
    <row r="292" spans="1:21" x14ac:dyDescent="0.25">
      <c r="A292" s="1" t="s">
        <v>179</v>
      </c>
      <c r="B292" s="1">
        <v>8</v>
      </c>
      <c r="C292" s="1" t="s">
        <v>409</v>
      </c>
      <c r="D292" s="1" t="s">
        <v>410</v>
      </c>
      <c r="E292" s="1" t="s">
        <v>26</v>
      </c>
      <c r="F292" s="2">
        <v>45747</v>
      </c>
      <c r="G292" s="1">
        <v>2025</v>
      </c>
      <c r="H292" s="1" t="s">
        <v>5</v>
      </c>
      <c r="I292" s="1" t="s">
        <v>127</v>
      </c>
      <c r="J292" s="1">
        <f t="shared" si="15"/>
        <v>0</v>
      </c>
      <c r="K292" s="7">
        <v>200000</v>
      </c>
      <c r="L292" s="7">
        <v>0</v>
      </c>
      <c r="M292" s="7">
        <f t="shared" si="16"/>
        <v>200000</v>
      </c>
      <c r="N292" s="9">
        <v>4</v>
      </c>
      <c r="O292" s="9">
        <v>2025</v>
      </c>
      <c r="P292" s="1">
        <v>1</v>
      </c>
      <c r="Q292" s="1" t="s">
        <v>39</v>
      </c>
      <c r="R292" s="1" t="s">
        <v>180</v>
      </c>
      <c r="T292" s="1" t="s">
        <v>36</v>
      </c>
    </row>
    <row r="293" spans="1:21" x14ac:dyDescent="0.25">
      <c r="A293" s="1" t="s">
        <v>176</v>
      </c>
      <c r="B293" s="1">
        <v>3</v>
      </c>
      <c r="C293" s="1" t="s">
        <v>472</v>
      </c>
      <c r="D293" s="1" t="s">
        <v>410</v>
      </c>
      <c r="E293" s="1" t="s">
        <v>26</v>
      </c>
      <c r="F293" s="2">
        <v>45730</v>
      </c>
      <c r="G293" s="1">
        <v>2025</v>
      </c>
      <c r="H293" s="1" t="s">
        <v>5</v>
      </c>
      <c r="I293" s="1" t="s">
        <v>127</v>
      </c>
      <c r="J293" s="1">
        <f t="shared" si="15"/>
        <v>0</v>
      </c>
      <c r="K293" s="7">
        <f>470000-423550</f>
        <v>46450</v>
      </c>
      <c r="L293" s="7">
        <v>0</v>
      </c>
      <c r="M293" s="7">
        <f t="shared" si="16"/>
        <v>46450</v>
      </c>
      <c r="N293" s="9">
        <v>4</v>
      </c>
      <c r="O293" s="9">
        <v>2025</v>
      </c>
      <c r="P293" s="1">
        <v>1</v>
      </c>
      <c r="Q293" s="1" t="s">
        <v>90</v>
      </c>
      <c r="R293" s="1">
        <v>174196893193700</v>
      </c>
      <c r="S293" s="1">
        <v>2014</v>
      </c>
      <c r="T293" s="1" t="s">
        <v>36</v>
      </c>
    </row>
    <row r="294" spans="1:21" x14ac:dyDescent="0.25">
      <c r="A294" s="1" t="s">
        <v>173</v>
      </c>
      <c r="B294" s="1">
        <v>10</v>
      </c>
      <c r="C294" s="1" t="s">
        <v>345</v>
      </c>
      <c r="D294" s="1" t="s">
        <v>346</v>
      </c>
      <c r="E294" s="1" t="s">
        <v>26</v>
      </c>
      <c r="F294" s="2">
        <v>45727</v>
      </c>
      <c r="G294" s="1">
        <v>2025</v>
      </c>
      <c r="H294" s="1" t="s">
        <v>4</v>
      </c>
      <c r="I294" s="1" t="s">
        <v>127</v>
      </c>
      <c r="J294" s="1">
        <f t="shared" si="15"/>
        <v>0</v>
      </c>
      <c r="K294" s="7">
        <v>50000</v>
      </c>
      <c r="L294" s="7">
        <v>0</v>
      </c>
      <c r="M294" s="7">
        <f t="shared" si="16"/>
        <v>50000</v>
      </c>
      <c r="N294" s="9">
        <v>3</v>
      </c>
      <c r="O294" s="9">
        <v>2025</v>
      </c>
      <c r="P294" s="1">
        <v>1</v>
      </c>
      <c r="Q294" s="1" t="s">
        <v>84</v>
      </c>
      <c r="R294" s="1" t="s">
        <v>174</v>
      </c>
      <c r="T294" s="1" t="s">
        <v>36</v>
      </c>
    </row>
    <row r="295" spans="1:21" x14ac:dyDescent="0.25">
      <c r="A295" s="1" t="s">
        <v>175</v>
      </c>
      <c r="B295" s="1">
        <v>9</v>
      </c>
      <c r="C295" s="1" t="s">
        <v>402</v>
      </c>
      <c r="D295" s="1" t="s">
        <v>346</v>
      </c>
      <c r="E295" s="1" t="s">
        <v>26</v>
      </c>
      <c r="F295" s="2">
        <v>45727</v>
      </c>
      <c r="G295" s="1">
        <v>2025</v>
      </c>
      <c r="H295" s="1" t="s">
        <v>4</v>
      </c>
      <c r="I295" s="1" t="s">
        <v>127</v>
      </c>
      <c r="J295" s="1">
        <f t="shared" si="15"/>
        <v>0</v>
      </c>
      <c r="K295" s="7">
        <v>100000</v>
      </c>
      <c r="L295" s="7">
        <v>0</v>
      </c>
      <c r="M295" s="7">
        <f t="shared" si="16"/>
        <v>100000</v>
      </c>
      <c r="N295" s="9">
        <v>3</v>
      </c>
      <c r="O295" s="9">
        <v>2025</v>
      </c>
      <c r="P295" s="1">
        <v>1</v>
      </c>
      <c r="Q295" s="1" t="s">
        <v>84</v>
      </c>
      <c r="T295" s="1" t="s">
        <v>36</v>
      </c>
    </row>
    <row r="296" spans="1:21" x14ac:dyDescent="0.25">
      <c r="A296" s="1" t="s">
        <v>172</v>
      </c>
      <c r="B296" s="1">
        <v>3</v>
      </c>
      <c r="C296" s="1" t="s">
        <v>472</v>
      </c>
      <c r="D296" s="1" t="s">
        <v>410</v>
      </c>
      <c r="E296" s="1" t="s">
        <v>26</v>
      </c>
      <c r="F296" s="2">
        <v>45727</v>
      </c>
      <c r="G296" s="1">
        <v>2025</v>
      </c>
      <c r="H296" s="1" t="s">
        <v>4</v>
      </c>
      <c r="I296" s="1" t="s">
        <v>127</v>
      </c>
      <c r="J296" s="1">
        <f t="shared" si="15"/>
        <v>0</v>
      </c>
      <c r="K296" s="7">
        <v>500000</v>
      </c>
      <c r="L296" s="7">
        <v>0</v>
      </c>
      <c r="M296" s="7">
        <f t="shared" si="16"/>
        <v>500000</v>
      </c>
      <c r="N296" s="9">
        <v>3</v>
      </c>
      <c r="O296" s="9">
        <v>2025</v>
      </c>
      <c r="P296" s="1">
        <v>1</v>
      </c>
      <c r="Q296" s="1" t="s">
        <v>90</v>
      </c>
      <c r="R296" s="1">
        <v>123275</v>
      </c>
      <c r="S296" s="1">
        <v>2014</v>
      </c>
      <c r="T296" s="1" t="s">
        <v>36</v>
      </c>
      <c r="U296" s="1" t="s">
        <v>162</v>
      </c>
    </row>
    <row r="297" spans="1:21" x14ac:dyDescent="0.25">
      <c r="A297" s="1" t="s">
        <v>171</v>
      </c>
      <c r="B297" s="1">
        <v>4</v>
      </c>
      <c r="C297" s="1" t="s">
        <v>525</v>
      </c>
      <c r="D297" s="1" t="s">
        <v>526</v>
      </c>
      <c r="E297" s="1" t="s">
        <v>26</v>
      </c>
      <c r="F297" s="2">
        <v>45726</v>
      </c>
      <c r="G297" s="1">
        <v>2025</v>
      </c>
      <c r="H297" s="1" t="s">
        <v>4</v>
      </c>
      <c r="I297" s="1" t="s">
        <v>127</v>
      </c>
      <c r="J297" s="1">
        <f t="shared" si="15"/>
        <v>0</v>
      </c>
      <c r="K297" s="7">
        <v>100000</v>
      </c>
      <c r="L297" s="7">
        <v>0</v>
      </c>
      <c r="M297" s="7">
        <f t="shared" si="16"/>
        <v>100000</v>
      </c>
      <c r="N297" s="9">
        <v>3</v>
      </c>
      <c r="O297" s="9">
        <v>2025</v>
      </c>
      <c r="P297" s="1">
        <v>1</v>
      </c>
      <c r="Q297" s="1" t="s">
        <v>39</v>
      </c>
      <c r="R297" s="1" t="s">
        <v>170</v>
      </c>
      <c r="S297" s="1" t="s">
        <v>120</v>
      </c>
      <c r="T297" s="1" t="s">
        <v>36</v>
      </c>
    </row>
    <row r="298" spans="1:21" x14ac:dyDescent="0.25">
      <c r="A298" s="1" t="s">
        <v>167</v>
      </c>
      <c r="B298" s="1">
        <v>7</v>
      </c>
      <c r="C298" s="1" t="s">
        <v>514</v>
      </c>
      <c r="D298" s="1" t="s">
        <v>515</v>
      </c>
      <c r="E298" s="1" t="s">
        <v>26</v>
      </c>
      <c r="F298" s="2">
        <v>45726</v>
      </c>
      <c r="G298" s="1">
        <v>2025</v>
      </c>
      <c r="H298" s="1" t="s">
        <v>4</v>
      </c>
      <c r="I298" s="1" t="s">
        <v>127</v>
      </c>
      <c r="J298" s="1">
        <f t="shared" si="15"/>
        <v>0</v>
      </c>
      <c r="K298" s="7">
        <v>50000</v>
      </c>
      <c r="L298" s="7">
        <v>0</v>
      </c>
      <c r="M298" s="7">
        <f t="shared" si="16"/>
        <v>50000</v>
      </c>
      <c r="N298" s="9">
        <v>3</v>
      </c>
      <c r="O298" s="9">
        <v>2025</v>
      </c>
      <c r="P298" s="1">
        <v>1</v>
      </c>
      <c r="Q298" s="10" t="s">
        <v>80</v>
      </c>
      <c r="R298" s="1">
        <v>99443665</v>
      </c>
      <c r="S298" s="1">
        <v>9030</v>
      </c>
      <c r="T298" s="1" t="s">
        <v>36</v>
      </c>
    </row>
    <row r="299" spans="1:21" x14ac:dyDescent="0.25">
      <c r="A299" s="1" t="s">
        <v>168</v>
      </c>
      <c r="B299" s="1">
        <v>2</v>
      </c>
      <c r="C299" s="1" t="s">
        <v>414</v>
      </c>
      <c r="D299" s="1" t="s">
        <v>410</v>
      </c>
      <c r="E299" s="1" t="s">
        <v>26</v>
      </c>
      <c r="F299" s="2">
        <v>45726</v>
      </c>
      <c r="G299" s="1">
        <v>2025</v>
      </c>
      <c r="H299" s="1" t="s">
        <v>4</v>
      </c>
      <c r="I299" s="1" t="s">
        <v>127</v>
      </c>
      <c r="J299" s="1">
        <f t="shared" si="15"/>
        <v>0</v>
      </c>
      <c r="K299" s="7">
        <v>50000</v>
      </c>
      <c r="L299" s="7">
        <v>0</v>
      </c>
      <c r="M299" s="7">
        <f t="shared" si="16"/>
        <v>50000</v>
      </c>
      <c r="N299" s="9">
        <v>3</v>
      </c>
      <c r="O299" s="9">
        <v>2025</v>
      </c>
      <c r="P299" s="1">
        <v>1</v>
      </c>
      <c r="Q299" s="10" t="s">
        <v>80</v>
      </c>
      <c r="R299" s="1">
        <v>9944190</v>
      </c>
      <c r="S299" s="1">
        <v>8600</v>
      </c>
      <c r="T299" s="1" t="s">
        <v>36</v>
      </c>
    </row>
    <row r="300" spans="1:21" x14ac:dyDescent="0.25">
      <c r="A300" s="1" t="s">
        <v>169</v>
      </c>
      <c r="B300" s="1">
        <v>1</v>
      </c>
      <c r="C300" s="1" t="s">
        <v>527</v>
      </c>
      <c r="D300" s="1" t="s">
        <v>346</v>
      </c>
      <c r="E300" s="1" t="s">
        <v>26</v>
      </c>
      <c r="F300" s="2">
        <v>45726</v>
      </c>
      <c r="G300" s="1">
        <v>2025</v>
      </c>
      <c r="H300" s="1" t="s">
        <v>4</v>
      </c>
      <c r="I300" s="1" t="s">
        <v>127</v>
      </c>
      <c r="J300" s="1">
        <f t="shared" si="15"/>
        <v>0</v>
      </c>
      <c r="K300" s="7">
        <v>100000</v>
      </c>
      <c r="L300" s="7">
        <v>0</v>
      </c>
      <c r="M300" s="7">
        <f t="shared" si="16"/>
        <v>100000</v>
      </c>
      <c r="N300" s="9">
        <v>3</v>
      </c>
      <c r="O300" s="9">
        <v>2025</v>
      </c>
      <c r="P300" s="1">
        <v>1</v>
      </c>
      <c r="Q300" s="1" t="s">
        <v>39</v>
      </c>
      <c r="R300" s="1" t="s">
        <v>170</v>
      </c>
      <c r="S300" s="1" t="s">
        <v>120</v>
      </c>
      <c r="T300" s="1" t="s">
        <v>36</v>
      </c>
    </row>
    <row r="301" spans="1:21" x14ac:dyDescent="0.25">
      <c r="A301" s="1" t="s">
        <v>160</v>
      </c>
      <c r="B301" s="1">
        <v>6</v>
      </c>
      <c r="C301" s="1" t="s">
        <v>415</v>
      </c>
      <c r="D301" s="1" t="s">
        <v>416</v>
      </c>
      <c r="E301" s="1" t="s">
        <v>26</v>
      </c>
      <c r="F301" s="2">
        <v>45722</v>
      </c>
      <c r="G301" s="1">
        <v>2025</v>
      </c>
      <c r="H301" s="1" t="s">
        <v>4</v>
      </c>
      <c r="I301" s="1" t="s">
        <v>127</v>
      </c>
      <c r="J301" s="1">
        <f t="shared" si="15"/>
        <v>0</v>
      </c>
      <c r="K301" s="7">
        <v>20000</v>
      </c>
      <c r="L301" s="7">
        <v>0</v>
      </c>
      <c r="M301" s="7">
        <f t="shared" si="16"/>
        <v>20000</v>
      </c>
      <c r="N301" s="9">
        <v>3</v>
      </c>
      <c r="O301" s="9">
        <v>2025</v>
      </c>
      <c r="P301" s="1">
        <v>1</v>
      </c>
      <c r="Q301" s="10" t="s">
        <v>80</v>
      </c>
      <c r="R301" s="1">
        <v>99139101</v>
      </c>
      <c r="S301" s="1">
        <v>8600</v>
      </c>
      <c r="T301" s="1" t="s">
        <v>36</v>
      </c>
    </row>
    <row r="302" spans="1:21" x14ac:dyDescent="0.25">
      <c r="A302" s="1" t="s">
        <v>161</v>
      </c>
      <c r="B302" s="1">
        <v>6</v>
      </c>
      <c r="C302" s="1" t="s">
        <v>415</v>
      </c>
      <c r="D302" s="1" t="s">
        <v>416</v>
      </c>
      <c r="E302" s="1" t="s">
        <v>26</v>
      </c>
      <c r="F302" s="2">
        <v>45722</v>
      </c>
      <c r="G302" s="1">
        <v>2025</v>
      </c>
      <c r="H302" s="1" t="s">
        <v>5</v>
      </c>
      <c r="I302" s="1" t="s">
        <v>127</v>
      </c>
      <c r="J302" s="1">
        <f t="shared" si="15"/>
        <v>0</v>
      </c>
      <c r="K302" s="7">
        <v>20000</v>
      </c>
      <c r="L302" s="7">
        <v>0</v>
      </c>
      <c r="M302" s="7">
        <f t="shared" si="16"/>
        <v>20000</v>
      </c>
      <c r="N302" s="9">
        <v>4</v>
      </c>
      <c r="O302" s="9">
        <v>2025</v>
      </c>
      <c r="P302" s="1">
        <v>1</v>
      </c>
      <c r="Q302" s="10" t="s">
        <v>80</v>
      </c>
      <c r="R302" s="1">
        <v>99139101</v>
      </c>
      <c r="S302" s="1">
        <v>8600</v>
      </c>
      <c r="T302" s="1" t="s">
        <v>36</v>
      </c>
    </row>
    <row r="303" spans="1:21" x14ac:dyDescent="0.25">
      <c r="A303" s="1" t="s">
        <v>155</v>
      </c>
      <c r="B303" s="1">
        <v>13</v>
      </c>
      <c r="C303" s="1" t="s">
        <v>398</v>
      </c>
      <c r="D303" s="1" t="s">
        <v>399</v>
      </c>
      <c r="E303" s="1" t="s">
        <v>26</v>
      </c>
      <c r="F303" s="2">
        <v>45721</v>
      </c>
      <c r="G303" s="1">
        <v>2025</v>
      </c>
      <c r="H303" s="1" t="s">
        <v>4</v>
      </c>
      <c r="I303" s="1" t="s">
        <v>127</v>
      </c>
      <c r="J303" s="1">
        <f t="shared" si="15"/>
        <v>0</v>
      </c>
      <c r="K303" s="7">
        <v>50000</v>
      </c>
      <c r="L303" s="7">
        <v>0</v>
      </c>
      <c r="M303" s="7">
        <f t="shared" si="16"/>
        <v>50000</v>
      </c>
      <c r="N303" s="9">
        <v>3</v>
      </c>
      <c r="O303" s="9">
        <v>2025</v>
      </c>
      <c r="P303" s="1">
        <v>1</v>
      </c>
      <c r="Q303" s="1" t="s">
        <v>39</v>
      </c>
      <c r="R303" s="1" t="s">
        <v>156</v>
      </c>
      <c r="T303" s="1" t="s">
        <v>36</v>
      </c>
    </row>
    <row r="304" spans="1:21" x14ac:dyDescent="0.25">
      <c r="A304" s="1" t="s">
        <v>164</v>
      </c>
      <c r="B304" s="1">
        <v>18</v>
      </c>
      <c r="C304" s="1" t="s">
        <v>406</v>
      </c>
      <c r="D304" s="1" t="s">
        <v>407</v>
      </c>
      <c r="E304" s="1" t="s">
        <v>26</v>
      </c>
      <c r="F304" s="2">
        <v>45721</v>
      </c>
      <c r="G304" s="1">
        <v>2025</v>
      </c>
      <c r="H304" s="1" t="s">
        <v>4</v>
      </c>
      <c r="I304" s="1" t="s">
        <v>127</v>
      </c>
      <c r="J304" s="1">
        <f t="shared" si="15"/>
        <v>0</v>
      </c>
      <c r="K304" s="7">
        <v>500000</v>
      </c>
      <c r="L304" s="7">
        <f>1000*J304</f>
        <v>0</v>
      </c>
      <c r="M304" s="7">
        <f t="shared" si="16"/>
        <v>500000</v>
      </c>
      <c r="N304" s="9">
        <v>3</v>
      </c>
      <c r="O304" s="9">
        <v>2025</v>
      </c>
      <c r="P304" s="1">
        <v>1</v>
      </c>
      <c r="Q304" s="1" t="s">
        <v>33</v>
      </c>
      <c r="R304" s="1">
        <v>71955</v>
      </c>
      <c r="S304" s="1">
        <v>6820</v>
      </c>
      <c r="T304" s="1" t="s">
        <v>36</v>
      </c>
      <c r="U304" s="1" t="s">
        <v>163</v>
      </c>
    </row>
    <row r="305" spans="1:21" x14ac:dyDescent="0.25">
      <c r="A305" s="1" t="s">
        <v>157</v>
      </c>
      <c r="B305" s="1">
        <v>5</v>
      </c>
      <c r="C305" s="1" t="s">
        <v>387</v>
      </c>
      <c r="D305" s="1" t="s">
        <v>339</v>
      </c>
      <c r="E305" s="1" t="s">
        <v>26</v>
      </c>
      <c r="F305" s="2">
        <v>45721</v>
      </c>
      <c r="G305" s="1">
        <v>2025</v>
      </c>
      <c r="H305" s="1" t="s">
        <v>4</v>
      </c>
      <c r="I305" s="1" t="s">
        <v>127</v>
      </c>
      <c r="J305" s="1">
        <f t="shared" si="15"/>
        <v>0</v>
      </c>
      <c r="K305" s="7">
        <v>500000</v>
      </c>
      <c r="L305" s="7">
        <v>0</v>
      </c>
      <c r="M305" s="7">
        <f t="shared" si="16"/>
        <v>500000</v>
      </c>
      <c r="N305" s="9">
        <v>3</v>
      </c>
      <c r="O305" s="9">
        <v>2025</v>
      </c>
      <c r="P305" s="1">
        <v>1</v>
      </c>
      <c r="Q305" s="1" t="s">
        <v>33</v>
      </c>
      <c r="R305" s="1" t="s">
        <v>159</v>
      </c>
      <c r="S305" s="5" t="s">
        <v>158</v>
      </c>
      <c r="T305" s="1" t="s">
        <v>36</v>
      </c>
      <c r="U305" s="1" t="s">
        <v>162</v>
      </c>
    </row>
    <row r="306" spans="1:21" x14ac:dyDescent="0.25">
      <c r="A306" s="1" t="s">
        <v>153</v>
      </c>
      <c r="B306" s="1">
        <v>8</v>
      </c>
      <c r="C306" s="1" t="s">
        <v>409</v>
      </c>
      <c r="D306" s="1" t="s">
        <v>410</v>
      </c>
      <c r="E306" s="1" t="s">
        <v>26</v>
      </c>
      <c r="F306" s="2">
        <v>45720</v>
      </c>
      <c r="G306" s="1">
        <v>2025</v>
      </c>
      <c r="H306" s="1" t="s">
        <v>4</v>
      </c>
      <c r="I306" s="1" t="s">
        <v>127</v>
      </c>
      <c r="J306" s="1">
        <f t="shared" si="15"/>
        <v>0</v>
      </c>
      <c r="K306" s="7">
        <v>200000</v>
      </c>
      <c r="L306" s="7">
        <v>0</v>
      </c>
      <c r="M306" s="7">
        <f t="shared" si="16"/>
        <v>200000</v>
      </c>
      <c r="N306" s="9">
        <v>3</v>
      </c>
      <c r="O306" s="9">
        <v>2025</v>
      </c>
      <c r="P306" s="1">
        <v>1</v>
      </c>
      <c r="Q306" s="1" t="s">
        <v>39</v>
      </c>
      <c r="R306" s="1" t="s">
        <v>154</v>
      </c>
      <c r="T306" s="1" t="s">
        <v>36</v>
      </c>
    </row>
    <row r="307" spans="1:21" x14ac:dyDescent="0.25">
      <c r="A307" s="1" t="s">
        <v>145</v>
      </c>
      <c r="B307" s="1">
        <v>18</v>
      </c>
      <c r="C307" s="1" t="s">
        <v>406</v>
      </c>
      <c r="D307" s="1" t="s">
        <v>407</v>
      </c>
      <c r="E307" s="1" t="s">
        <v>26</v>
      </c>
      <c r="F307" s="2">
        <v>45706</v>
      </c>
      <c r="G307" s="1">
        <v>2025</v>
      </c>
      <c r="H307" s="1" t="s">
        <v>3</v>
      </c>
      <c r="I307" s="1" t="s">
        <v>127</v>
      </c>
      <c r="J307" s="1">
        <f t="shared" si="15"/>
        <v>0</v>
      </c>
      <c r="K307" s="7">
        <v>500000</v>
      </c>
      <c r="L307" s="7">
        <f t="shared" ref="L307:L318" si="17">1000*J307</f>
        <v>0</v>
      </c>
      <c r="M307" s="7">
        <f t="shared" si="16"/>
        <v>500000</v>
      </c>
      <c r="N307" s="9">
        <v>2</v>
      </c>
      <c r="O307" s="9">
        <v>2025</v>
      </c>
      <c r="P307" s="1">
        <v>1</v>
      </c>
      <c r="Q307" s="1" t="s">
        <v>33</v>
      </c>
      <c r="R307" s="1">
        <v>87854</v>
      </c>
      <c r="S307" s="1">
        <v>6820</v>
      </c>
      <c r="T307" s="1" t="s">
        <v>36</v>
      </c>
      <c r="U307" s="1" t="s">
        <v>163</v>
      </c>
    </row>
    <row r="308" spans="1:21" x14ac:dyDescent="0.25">
      <c r="A308" s="1" t="s">
        <v>146</v>
      </c>
      <c r="B308" s="1">
        <v>4</v>
      </c>
      <c r="C308" s="1" t="s">
        <v>525</v>
      </c>
      <c r="D308" s="1" t="s">
        <v>526</v>
      </c>
      <c r="E308" s="1" t="s">
        <v>26</v>
      </c>
      <c r="F308" s="2">
        <v>45706</v>
      </c>
      <c r="G308" s="1">
        <v>2025</v>
      </c>
      <c r="H308" s="1" t="s">
        <v>3</v>
      </c>
      <c r="I308" s="1" t="s">
        <v>134</v>
      </c>
      <c r="J308" s="1">
        <f t="shared" si="15"/>
        <v>0</v>
      </c>
      <c r="K308" s="7">
        <v>107000</v>
      </c>
      <c r="L308" s="7">
        <f t="shared" si="17"/>
        <v>0</v>
      </c>
      <c r="M308" s="7">
        <f t="shared" si="16"/>
        <v>107000</v>
      </c>
      <c r="N308" s="9">
        <v>2</v>
      </c>
      <c r="O308" s="9">
        <v>2025</v>
      </c>
      <c r="P308" s="1">
        <v>1</v>
      </c>
      <c r="Q308" s="1" t="s">
        <v>39</v>
      </c>
      <c r="R308" s="1" t="s">
        <v>147</v>
      </c>
      <c r="T308" s="1" t="s">
        <v>36</v>
      </c>
      <c r="U308" s="1" t="s">
        <v>342</v>
      </c>
    </row>
    <row r="309" spans="1:21" x14ac:dyDescent="0.25">
      <c r="A309" s="1" t="s">
        <v>133</v>
      </c>
      <c r="B309" s="1">
        <v>15</v>
      </c>
      <c r="C309" s="1" t="s">
        <v>394</v>
      </c>
      <c r="D309" s="1" t="s">
        <v>395</v>
      </c>
      <c r="E309" s="1" t="s">
        <v>26</v>
      </c>
      <c r="F309" s="2">
        <v>45704</v>
      </c>
      <c r="G309" s="1">
        <v>2025</v>
      </c>
      <c r="H309" s="1" t="s">
        <v>4</v>
      </c>
      <c r="I309" s="1" t="s">
        <v>134</v>
      </c>
      <c r="J309" s="1">
        <f t="shared" si="15"/>
        <v>0</v>
      </c>
      <c r="K309" s="7">
        <v>20000</v>
      </c>
      <c r="L309" s="7">
        <f t="shared" si="17"/>
        <v>0</v>
      </c>
      <c r="M309" s="7">
        <f t="shared" si="16"/>
        <v>20000</v>
      </c>
      <c r="N309" s="9">
        <v>3</v>
      </c>
      <c r="O309" s="9">
        <v>2025</v>
      </c>
      <c r="P309" s="1">
        <v>1</v>
      </c>
      <c r="Q309" s="1" t="s">
        <v>39</v>
      </c>
      <c r="R309" s="1" t="s">
        <v>135</v>
      </c>
      <c r="T309" s="1" t="s">
        <v>36</v>
      </c>
      <c r="U309" s="1" t="s">
        <v>342</v>
      </c>
    </row>
    <row r="310" spans="1:21" x14ac:dyDescent="0.25">
      <c r="A310" s="1" t="s">
        <v>136</v>
      </c>
      <c r="B310" s="1">
        <v>15</v>
      </c>
      <c r="C310" s="1" t="s">
        <v>394</v>
      </c>
      <c r="D310" s="1" t="s">
        <v>395</v>
      </c>
      <c r="E310" s="1" t="s">
        <v>26</v>
      </c>
      <c r="F310" s="2">
        <v>45704</v>
      </c>
      <c r="G310" s="1">
        <v>2025</v>
      </c>
      <c r="H310" s="1" t="s">
        <v>5</v>
      </c>
      <c r="I310" s="1" t="s">
        <v>127</v>
      </c>
      <c r="J310" s="1">
        <f t="shared" si="15"/>
        <v>0</v>
      </c>
      <c r="K310" s="7">
        <v>20000</v>
      </c>
      <c r="L310" s="7">
        <f t="shared" si="17"/>
        <v>0</v>
      </c>
      <c r="M310" s="7">
        <f t="shared" si="16"/>
        <v>20000</v>
      </c>
      <c r="N310" s="9">
        <v>4</v>
      </c>
      <c r="O310" s="9">
        <v>2025</v>
      </c>
      <c r="P310" s="1">
        <v>1</v>
      </c>
      <c r="Q310" s="1" t="s">
        <v>39</v>
      </c>
      <c r="R310" s="1" t="s">
        <v>135</v>
      </c>
      <c r="T310" s="1" t="s">
        <v>36</v>
      </c>
    </row>
    <row r="311" spans="1:21" x14ac:dyDescent="0.25">
      <c r="A311" s="1" t="s">
        <v>137</v>
      </c>
      <c r="B311" s="1">
        <v>15</v>
      </c>
      <c r="C311" s="1" t="s">
        <v>394</v>
      </c>
      <c r="D311" s="1" t="s">
        <v>395</v>
      </c>
      <c r="E311" s="1" t="s">
        <v>26</v>
      </c>
      <c r="F311" s="2">
        <v>45704</v>
      </c>
      <c r="G311" s="1">
        <v>2025</v>
      </c>
      <c r="H311" s="1" t="s">
        <v>6</v>
      </c>
      <c r="I311" s="1" t="s">
        <v>127</v>
      </c>
      <c r="J311" s="1">
        <f t="shared" si="15"/>
        <v>0</v>
      </c>
      <c r="K311" s="7">
        <v>20000</v>
      </c>
      <c r="L311" s="7">
        <f t="shared" si="17"/>
        <v>0</v>
      </c>
      <c r="M311" s="7">
        <f t="shared" si="16"/>
        <v>20000</v>
      </c>
      <c r="N311" s="9">
        <v>5</v>
      </c>
      <c r="O311" s="9">
        <v>2025</v>
      </c>
      <c r="P311" s="1">
        <v>1</v>
      </c>
      <c r="Q311" s="1" t="s">
        <v>39</v>
      </c>
      <c r="R311" s="1" t="s">
        <v>135</v>
      </c>
      <c r="T311" s="1" t="s">
        <v>36</v>
      </c>
    </row>
    <row r="312" spans="1:21" x14ac:dyDescent="0.25">
      <c r="A312" s="1" t="s">
        <v>138</v>
      </c>
      <c r="B312" s="1">
        <v>15</v>
      </c>
      <c r="C312" s="1" t="s">
        <v>394</v>
      </c>
      <c r="D312" s="1" t="s">
        <v>395</v>
      </c>
      <c r="E312" s="1" t="s">
        <v>26</v>
      </c>
      <c r="F312" s="2">
        <v>45704</v>
      </c>
      <c r="G312" s="1">
        <v>2025</v>
      </c>
      <c r="H312" s="1" t="s">
        <v>7</v>
      </c>
      <c r="I312" s="1" t="s">
        <v>127</v>
      </c>
      <c r="J312" s="1">
        <f t="shared" si="15"/>
        <v>0</v>
      </c>
      <c r="K312" s="7">
        <v>20000</v>
      </c>
      <c r="L312" s="7">
        <f t="shared" si="17"/>
        <v>0</v>
      </c>
      <c r="M312" s="7">
        <f t="shared" si="16"/>
        <v>20000</v>
      </c>
      <c r="N312" s="9">
        <v>6</v>
      </c>
      <c r="O312" s="9">
        <v>2025</v>
      </c>
      <c r="P312" s="1">
        <v>1</v>
      </c>
      <c r="Q312" s="1" t="s">
        <v>39</v>
      </c>
      <c r="R312" s="1" t="s">
        <v>135</v>
      </c>
      <c r="T312" s="1" t="s">
        <v>36</v>
      </c>
    </row>
    <row r="313" spans="1:21" x14ac:dyDescent="0.25">
      <c r="A313" s="1" t="s">
        <v>139</v>
      </c>
      <c r="B313" s="1">
        <v>15</v>
      </c>
      <c r="C313" s="1" t="s">
        <v>394</v>
      </c>
      <c r="D313" s="1" t="s">
        <v>395</v>
      </c>
      <c r="E313" s="1" t="s">
        <v>26</v>
      </c>
      <c r="F313" s="2">
        <v>45704</v>
      </c>
      <c r="G313" s="1">
        <v>2025</v>
      </c>
      <c r="H313" s="1" t="s">
        <v>8</v>
      </c>
      <c r="I313" s="1" t="s">
        <v>127</v>
      </c>
      <c r="J313" s="1">
        <f t="shared" si="15"/>
        <v>0</v>
      </c>
      <c r="K313" s="7">
        <v>20000</v>
      </c>
      <c r="L313" s="7">
        <f t="shared" si="17"/>
        <v>0</v>
      </c>
      <c r="M313" s="7">
        <f t="shared" si="16"/>
        <v>20000</v>
      </c>
      <c r="N313" s="9">
        <v>7</v>
      </c>
      <c r="O313" s="9">
        <v>2025</v>
      </c>
      <c r="P313" s="1">
        <v>1</v>
      </c>
      <c r="Q313" s="1" t="s">
        <v>39</v>
      </c>
      <c r="R313" s="1" t="s">
        <v>135</v>
      </c>
      <c r="T313" s="1" t="s">
        <v>36</v>
      </c>
    </row>
    <row r="314" spans="1:21" x14ac:dyDescent="0.25">
      <c r="A314" s="1" t="s">
        <v>140</v>
      </c>
      <c r="B314" s="1">
        <v>15</v>
      </c>
      <c r="C314" s="1" t="s">
        <v>394</v>
      </c>
      <c r="D314" s="1" t="s">
        <v>395</v>
      </c>
      <c r="E314" s="1" t="s">
        <v>26</v>
      </c>
      <c r="F314" s="2">
        <v>45704</v>
      </c>
      <c r="G314" s="1">
        <v>2025</v>
      </c>
      <c r="H314" s="1" t="s">
        <v>9</v>
      </c>
      <c r="I314" s="1" t="s">
        <v>127</v>
      </c>
      <c r="J314" s="1">
        <f t="shared" si="15"/>
        <v>0</v>
      </c>
      <c r="K314" s="7">
        <v>20000</v>
      </c>
      <c r="L314" s="7">
        <f t="shared" si="17"/>
        <v>0</v>
      </c>
      <c r="M314" s="7">
        <f t="shared" si="16"/>
        <v>20000</v>
      </c>
      <c r="N314" s="9">
        <v>8</v>
      </c>
      <c r="O314" s="9">
        <v>2025</v>
      </c>
      <c r="P314" s="1">
        <v>1</v>
      </c>
      <c r="Q314" s="1" t="s">
        <v>39</v>
      </c>
      <c r="R314" s="1" t="s">
        <v>135</v>
      </c>
      <c r="T314" s="1" t="s">
        <v>36</v>
      </c>
    </row>
    <row r="315" spans="1:21" x14ac:dyDescent="0.25">
      <c r="A315" s="1" t="s">
        <v>141</v>
      </c>
      <c r="B315" s="1">
        <v>15</v>
      </c>
      <c r="C315" s="1" t="s">
        <v>394</v>
      </c>
      <c r="D315" s="1" t="s">
        <v>395</v>
      </c>
      <c r="E315" s="1" t="s">
        <v>26</v>
      </c>
      <c r="F315" s="2">
        <v>45704</v>
      </c>
      <c r="G315" s="1">
        <v>2025</v>
      </c>
      <c r="H315" s="1" t="s">
        <v>10</v>
      </c>
      <c r="I315" s="1" t="s">
        <v>127</v>
      </c>
      <c r="J315" s="1">
        <f t="shared" si="15"/>
        <v>0</v>
      </c>
      <c r="K315" s="7">
        <v>20000</v>
      </c>
      <c r="L315" s="7">
        <f t="shared" si="17"/>
        <v>0</v>
      </c>
      <c r="M315" s="7">
        <f t="shared" si="16"/>
        <v>20000</v>
      </c>
      <c r="N315" s="9">
        <v>9</v>
      </c>
      <c r="O315" s="9">
        <v>2025</v>
      </c>
      <c r="P315" s="1">
        <v>1</v>
      </c>
      <c r="Q315" s="1" t="s">
        <v>39</v>
      </c>
      <c r="R315" s="1" t="s">
        <v>135</v>
      </c>
      <c r="T315" s="1" t="s">
        <v>36</v>
      </c>
    </row>
    <row r="316" spans="1:21" x14ac:dyDescent="0.25">
      <c r="A316" s="1" t="s">
        <v>142</v>
      </c>
      <c r="B316" s="1">
        <v>15</v>
      </c>
      <c r="C316" s="1" t="s">
        <v>394</v>
      </c>
      <c r="D316" s="1" t="s">
        <v>395</v>
      </c>
      <c r="E316" s="1" t="s">
        <v>26</v>
      </c>
      <c r="F316" s="2">
        <v>45704</v>
      </c>
      <c r="G316" s="1">
        <v>2025</v>
      </c>
      <c r="H316" s="1" t="s">
        <v>14</v>
      </c>
      <c r="I316" s="1" t="s">
        <v>127</v>
      </c>
      <c r="J316" s="1">
        <f t="shared" ref="J316:J360" si="18">0*0</f>
        <v>0</v>
      </c>
      <c r="K316" s="7">
        <v>20000</v>
      </c>
      <c r="L316" s="7">
        <f t="shared" si="17"/>
        <v>0</v>
      </c>
      <c r="M316" s="7">
        <f t="shared" si="16"/>
        <v>20000</v>
      </c>
      <c r="N316" s="9">
        <v>10</v>
      </c>
      <c r="O316" s="9">
        <v>2025</v>
      </c>
      <c r="P316" s="1">
        <v>1</v>
      </c>
      <c r="Q316" s="1" t="s">
        <v>39</v>
      </c>
      <c r="R316" s="1" t="s">
        <v>135</v>
      </c>
      <c r="T316" s="1" t="s">
        <v>36</v>
      </c>
    </row>
    <row r="317" spans="1:21" x14ac:dyDescent="0.25">
      <c r="A317" s="1" t="s">
        <v>143</v>
      </c>
      <c r="B317" s="1">
        <v>15</v>
      </c>
      <c r="C317" s="1" t="s">
        <v>394</v>
      </c>
      <c r="D317" s="1" t="s">
        <v>395</v>
      </c>
      <c r="E317" s="1" t="s">
        <v>26</v>
      </c>
      <c r="F317" s="2">
        <v>45704</v>
      </c>
      <c r="G317" s="1">
        <v>2025</v>
      </c>
      <c r="H317" s="1" t="s">
        <v>17</v>
      </c>
      <c r="I317" s="1" t="s">
        <v>127</v>
      </c>
      <c r="J317" s="1">
        <f t="shared" si="18"/>
        <v>0</v>
      </c>
      <c r="K317" s="7">
        <v>20000</v>
      </c>
      <c r="L317" s="7">
        <f t="shared" si="17"/>
        <v>0</v>
      </c>
      <c r="M317" s="7">
        <f t="shared" si="16"/>
        <v>20000</v>
      </c>
      <c r="N317" s="9">
        <v>11</v>
      </c>
      <c r="O317" s="9">
        <v>2025</v>
      </c>
      <c r="P317" s="1">
        <v>1</v>
      </c>
      <c r="Q317" s="1" t="s">
        <v>39</v>
      </c>
      <c r="R317" s="1" t="s">
        <v>135</v>
      </c>
      <c r="T317" s="1" t="s">
        <v>36</v>
      </c>
    </row>
    <row r="318" spans="1:21" x14ac:dyDescent="0.25">
      <c r="A318" s="1" t="s">
        <v>144</v>
      </c>
      <c r="B318" s="1">
        <v>15</v>
      </c>
      <c r="C318" s="1" t="s">
        <v>394</v>
      </c>
      <c r="D318" s="1" t="s">
        <v>395</v>
      </c>
      <c r="E318" s="1" t="s">
        <v>26</v>
      </c>
      <c r="F318" s="2">
        <v>45704</v>
      </c>
      <c r="G318" s="1">
        <v>2025</v>
      </c>
      <c r="H318" s="1" t="s">
        <v>16</v>
      </c>
      <c r="I318" s="1" t="s">
        <v>127</v>
      </c>
      <c r="J318" s="1">
        <f t="shared" si="18"/>
        <v>0</v>
      </c>
      <c r="K318" s="7">
        <v>20000</v>
      </c>
      <c r="L318" s="7">
        <f t="shared" si="17"/>
        <v>0</v>
      </c>
      <c r="M318" s="7">
        <f t="shared" si="16"/>
        <v>20000</v>
      </c>
      <c r="N318" s="9">
        <v>12</v>
      </c>
      <c r="O318" s="9">
        <v>2025</v>
      </c>
      <c r="P318" s="1">
        <v>1</v>
      </c>
      <c r="Q318" s="1" t="s">
        <v>39</v>
      </c>
      <c r="R318" s="1" t="s">
        <v>135</v>
      </c>
      <c r="T318" s="1" t="s">
        <v>36</v>
      </c>
    </row>
    <row r="319" spans="1:21" x14ac:dyDescent="0.25">
      <c r="A319" s="1" t="s">
        <v>132</v>
      </c>
      <c r="B319" s="1">
        <v>3</v>
      </c>
      <c r="C319" s="1" t="s">
        <v>472</v>
      </c>
      <c r="D319" s="1" t="s">
        <v>410</v>
      </c>
      <c r="E319" s="1" t="s">
        <v>26</v>
      </c>
      <c r="F319" s="2">
        <v>45703</v>
      </c>
      <c r="G319" s="1">
        <v>2025</v>
      </c>
      <c r="H319" s="1" t="s">
        <v>4</v>
      </c>
      <c r="I319" s="1" t="s">
        <v>127</v>
      </c>
      <c r="J319" s="1">
        <f t="shared" si="18"/>
        <v>0</v>
      </c>
      <c r="K319" s="7">
        <v>40000</v>
      </c>
      <c r="L319" s="7">
        <v>0</v>
      </c>
      <c r="M319" s="7">
        <f t="shared" si="16"/>
        <v>40000</v>
      </c>
      <c r="N319" s="9">
        <v>3</v>
      </c>
      <c r="O319" s="9">
        <v>2025</v>
      </c>
      <c r="P319" s="1">
        <v>1</v>
      </c>
      <c r="Q319" s="1" t="s">
        <v>90</v>
      </c>
      <c r="R319" s="1">
        <v>25183</v>
      </c>
      <c r="S319" s="1">
        <v>2014</v>
      </c>
      <c r="T319" s="1" t="s">
        <v>36</v>
      </c>
    </row>
    <row r="320" spans="1:21" x14ac:dyDescent="0.25">
      <c r="A320" s="1" t="s">
        <v>125</v>
      </c>
      <c r="B320" s="1">
        <v>11</v>
      </c>
      <c r="C320" s="1" t="s">
        <v>417</v>
      </c>
      <c r="D320" s="1" t="s">
        <v>410</v>
      </c>
      <c r="E320" s="1" t="s">
        <v>26</v>
      </c>
      <c r="F320" s="2">
        <v>45701</v>
      </c>
      <c r="G320" s="1">
        <v>2025</v>
      </c>
      <c r="H320" s="1" t="s">
        <v>3</v>
      </c>
      <c r="I320" s="1" t="s">
        <v>127</v>
      </c>
      <c r="J320" s="1">
        <f t="shared" si="18"/>
        <v>0</v>
      </c>
      <c r="K320" s="7">
        <v>20000</v>
      </c>
      <c r="L320" s="7">
        <f>1000*J320</f>
        <v>0</v>
      </c>
      <c r="M320" s="7">
        <f t="shared" si="16"/>
        <v>20000</v>
      </c>
      <c r="N320" s="9">
        <v>2</v>
      </c>
      <c r="O320" s="9">
        <v>2025</v>
      </c>
      <c r="P320" s="1">
        <v>1</v>
      </c>
      <c r="Q320" s="10" t="s">
        <v>84</v>
      </c>
      <c r="R320" s="1">
        <v>51498751</v>
      </c>
      <c r="T320" s="1" t="s">
        <v>36</v>
      </c>
      <c r="U320" s="1" t="s">
        <v>342</v>
      </c>
    </row>
    <row r="321" spans="1:21" x14ac:dyDescent="0.25">
      <c r="A321" s="1" t="s">
        <v>131</v>
      </c>
      <c r="B321" s="1">
        <v>11</v>
      </c>
      <c r="C321" s="1" t="s">
        <v>417</v>
      </c>
      <c r="D321" s="1" t="s">
        <v>410</v>
      </c>
      <c r="E321" s="1" t="s">
        <v>26</v>
      </c>
      <c r="F321" s="2">
        <v>45701</v>
      </c>
      <c r="G321" s="1">
        <v>2025</v>
      </c>
      <c r="H321" s="1" t="s">
        <v>4</v>
      </c>
      <c r="I321" s="1" t="s">
        <v>127</v>
      </c>
      <c r="J321" s="1">
        <f t="shared" si="18"/>
        <v>0</v>
      </c>
      <c r="K321" s="7">
        <v>20000</v>
      </c>
      <c r="L321" s="7">
        <f>1000*J321</f>
        <v>0</v>
      </c>
      <c r="M321" s="7">
        <f t="shared" si="16"/>
        <v>20000</v>
      </c>
      <c r="N321" s="9">
        <v>3</v>
      </c>
      <c r="O321" s="9">
        <v>2025</v>
      </c>
      <c r="P321" s="1">
        <v>1</v>
      </c>
      <c r="Q321" s="10" t="s">
        <v>84</v>
      </c>
      <c r="R321" s="1">
        <v>51498751</v>
      </c>
      <c r="T321" s="1" t="s">
        <v>36</v>
      </c>
    </row>
    <row r="322" spans="1:21" x14ac:dyDescent="0.25">
      <c r="A322" s="1" t="s">
        <v>123</v>
      </c>
      <c r="B322" s="1">
        <v>10</v>
      </c>
      <c r="C322" s="1" t="s">
        <v>345</v>
      </c>
      <c r="D322" s="1" t="s">
        <v>346</v>
      </c>
      <c r="E322" s="1" t="s">
        <v>26</v>
      </c>
      <c r="F322" s="2">
        <v>45699</v>
      </c>
      <c r="G322" s="1">
        <v>2025</v>
      </c>
      <c r="H322" s="1" t="s">
        <v>3</v>
      </c>
      <c r="I322" s="1" t="s">
        <v>127</v>
      </c>
      <c r="J322" s="1">
        <f t="shared" si="18"/>
        <v>0</v>
      </c>
      <c r="K322" s="7">
        <v>50000</v>
      </c>
      <c r="L322" s="7">
        <v>0</v>
      </c>
      <c r="M322" s="7">
        <f t="shared" si="16"/>
        <v>50000</v>
      </c>
      <c r="N322" s="9">
        <v>2</v>
      </c>
      <c r="O322" s="9">
        <v>2025</v>
      </c>
      <c r="P322" s="1">
        <v>1</v>
      </c>
      <c r="Q322" s="1" t="s">
        <v>84</v>
      </c>
      <c r="T322" s="1" t="s">
        <v>36</v>
      </c>
    </row>
    <row r="323" spans="1:21" x14ac:dyDescent="0.25">
      <c r="A323" s="1" t="s">
        <v>124</v>
      </c>
      <c r="B323" s="1">
        <v>9</v>
      </c>
      <c r="C323" s="1" t="s">
        <v>402</v>
      </c>
      <c r="D323" s="1" t="s">
        <v>346</v>
      </c>
      <c r="E323" s="1" t="s">
        <v>26</v>
      </c>
      <c r="F323" s="2">
        <v>45699</v>
      </c>
      <c r="G323" s="1">
        <v>2025</v>
      </c>
      <c r="H323" s="1" t="s">
        <v>3</v>
      </c>
      <c r="I323" s="1" t="s">
        <v>127</v>
      </c>
      <c r="J323" s="1">
        <f t="shared" si="18"/>
        <v>0</v>
      </c>
      <c r="K323" s="7">
        <v>100000</v>
      </c>
      <c r="L323" s="7">
        <v>0</v>
      </c>
      <c r="M323" s="7">
        <f t="shared" si="16"/>
        <v>100000</v>
      </c>
      <c r="N323" s="9">
        <v>2</v>
      </c>
      <c r="O323" s="9">
        <v>2025</v>
      </c>
      <c r="P323" s="1">
        <v>1</v>
      </c>
      <c r="Q323" s="1" t="s">
        <v>84</v>
      </c>
      <c r="T323" s="1" t="s">
        <v>36</v>
      </c>
    </row>
    <row r="324" spans="1:21" x14ac:dyDescent="0.25">
      <c r="A324" s="1" t="s">
        <v>121</v>
      </c>
      <c r="B324" s="1">
        <v>7</v>
      </c>
      <c r="C324" s="1" t="s">
        <v>514</v>
      </c>
      <c r="D324" s="1" t="s">
        <v>515</v>
      </c>
      <c r="E324" s="1" t="s">
        <v>26</v>
      </c>
      <c r="F324" s="2">
        <v>45698</v>
      </c>
      <c r="G324" s="1">
        <v>2025</v>
      </c>
      <c r="H324" s="1" t="s">
        <v>3</v>
      </c>
      <c r="I324" s="1" t="s">
        <v>127</v>
      </c>
      <c r="J324" s="1">
        <f t="shared" si="18"/>
        <v>0</v>
      </c>
      <c r="K324" s="7">
        <v>50000</v>
      </c>
      <c r="L324" s="7">
        <v>0</v>
      </c>
      <c r="M324" s="7">
        <f t="shared" si="16"/>
        <v>50000</v>
      </c>
      <c r="N324" s="9">
        <v>2</v>
      </c>
      <c r="O324" s="9">
        <v>2025</v>
      </c>
      <c r="P324" s="1">
        <v>1</v>
      </c>
      <c r="Q324" s="10" t="s">
        <v>80</v>
      </c>
      <c r="R324" s="1">
        <v>97146816</v>
      </c>
      <c r="S324" s="1">
        <v>9030</v>
      </c>
      <c r="T324" s="1" t="s">
        <v>36</v>
      </c>
    </row>
    <row r="325" spans="1:21" x14ac:dyDescent="0.25">
      <c r="A325" s="1" t="s">
        <v>122</v>
      </c>
      <c r="B325" s="1">
        <v>2</v>
      </c>
      <c r="C325" s="1" t="s">
        <v>414</v>
      </c>
      <c r="D325" s="1" t="s">
        <v>410</v>
      </c>
      <c r="E325" s="1" t="s">
        <v>26</v>
      </c>
      <c r="F325" s="2">
        <v>45698</v>
      </c>
      <c r="G325" s="1">
        <v>2025</v>
      </c>
      <c r="H325" s="1" t="s">
        <v>3</v>
      </c>
      <c r="I325" s="1" t="s">
        <v>127</v>
      </c>
      <c r="J325" s="1">
        <f t="shared" si="18"/>
        <v>0</v>
      </c>
      <c r="K325" s="7">
        <v>50000</v>
      </c>
      <c r="L325" s="7">
        <v>0</v>
      </c>
      <c r="M325" s="7">
        <f t="shared" si="16"/>
        <v>50000</v>
      </c>
      <c r="N325" s="9">
        <v>2</v>
      </c>
      <c r="O325" s="9">
        <v>2025</v>
      </c>
      <c r="P325" s="1">
        <v>1</v>
      </c>
      <c r="Q325" s="10" t="s">
        <v>80</v>
      </c>
      <c r="R325" s="1">
        <v>97146827</v>
      </c>
      <c r="S325" s="1">
        <v>8600</v>
      </c>
      <c r="T325" s="1" t="s">
        <v>36</v>
      </c>
    </row>
    <row r="326" spans="1:21" x14ac:dyDescent="0.25">
      <c r="A326" s="1" t="s">
        <v>118</v>
      </c>
      <c r="B326" s="1">
        <v>1</v>
      </c>
      <c r="C326" s="1" t="s">
        <v>527</v>
      </c>
      <c r="D326" s="1" t="s">
        <v>346</v>
      </c>
      <c r="E326" s="1" t="s">
        <v>26</v>
      </c>
      <c r="F326" s="2">
        <v>45698</v>
      </c>
      <c r="G326" s="1">
        <v>2025</v>
      </c>
      <c r="H326" s="1" t="s">
        <v>3</v>
      </c>
      <c r="I326" s="1" t="s">
        <v>127</v>
      </c>
      <c r="J326" s="1">
        <f t="shared" si="18"/>
        <v>0</v>
      </c>
      <c r="K326" s="7">
        <v>100000</v>
      </c>
      <c r="L326" s="7">
        <v>0</v>
      </c>
      <c r="M326" s="7">
        <f t="shared" si="16"/>
        <v>100000</v>
      </c>
      <c r="N326" s="9">
        <v>2</v>
      </c>
      <c r="O326" s="9">
        <v>2025</v>
      </c>
      <c r="P326" s="1">
        <v>1</v>
      </c>
      <c r="Q326" s="1" t="s">
        <v>39</v>
      </c>
      <c r="R326" s="1" t="s">
        <v>119</v>
      </c>
      <c r="S326" s="1" t="s">
        <v>120</v>
      </c>
      <c r="T326" s="1" t="s">
        <v>36</v>
      </c>
    </row>
    <row r="327" spans="1:21" x14ac:dyDescent="0.25">
      <c r="A327" s="1" t="s">
        <v>148</v>
      </c>
      <c r="B327" s="1">
        <v>8</v>
      </c>
      <c r="C327" s="1" t="s">
        <v>409</v>
      </c>
      <c r="D327" s="1" t="s">
        <v>410</v>
      </c>
      <c r="E327" s="1" t="s">
        <v>26</v>
      </c>
      <c r="F327" s="2">
        <v>45696</v>
      </c>
      <c r="G327" s="1">
        <v>2025</v>
      </c>
      <c r="H327" s="1" t="s">
        <v>3</v>
      </c>
      <c r="I327" s="1" t="s">
        <v>127</v>
      </c>
      <c r="J327" s="1">
        <f t="shared" si="18"/>
        <v>0</v>
      </c>
      <c r="K327" s="7">
        <v>200000</v>
      </c>
      <c r="L327" s="7">
        <v>0</v>
      </c>
      <c r="M327" s="7">
        <f t="shared" si="16"/>
        <v>200000</v>
      </c>
      <c r="N327" s="9">
        <v>2</v>
      </c>
      <c r="O327" s="9">
        <v>2025</v>
      </c>
      <c r="P327" s="1">
        <v>1</v>
      </c>
      <c r="Q327" s="1" t="s">
        <v>39</v>
      </c>
      <c r="R327" s="1" t="s">
        <v>149</v>
      </c>
      <c r="T327" s="1" t="s">
        <v>36</v>
      </c>
    </row>
    <row r="328" spans="1:21" x14ac:dyDescent="0.25">
      <c r="A328" s="1" t="s">
        <v>165</v>
      </c>
      <c r="B328" s="1">
        <v>16</v>
      </c>
      <c r="C328" s="1" t="s">
        <v>422</v>
      </c>
      <c r="D328" s="1" t="s">
        <v>407</v>
      </c>
      <c r="E328" s="1" t="s">
        <v>26</v>
      </c>
      <c r="F328" s="2">
        <v>45695</v>
      </c>
      <c r="G328" s="1">
        <v>2025</v>
      </c>
      <c r="H328" s="1" t="s">
        <v>4</v>
      </c>
      <c r="I328" s="1" t="s">
        <v>127</v>
      </c>
      <c r="J328" s="1">
        <f t="shared" si="18"/>
        <v>0</v>
      </c>
      <c r="K328" s="7">
        <v>50000</v>
      </c>
      <c r="L328" s="7">
        <v>0</v>
      </c>
      <c r="M328" s="7">
        <f t="shared" si="16"/>
        <v>50000</v>
      </c>
      <c r="N328" s="9">
        <v>3</v>
      </c>
      <c r="O328" s="9">
        <v>2025</v>
      </c>
      <c r="P328" s="1">
        <v>1</v>
      </c>
      <c r="Q328" s="1" t="s">
        <v>39</v>
      </c>
      <c r="R328" s="1" t="s">
        <v>166</v>
      </c>
      <c r="T328" s="1" t="s">
        <v>36</v>
      </c>
    </row>
    <row r="329" spans="1:21" x14ac:dyDescent="0.25">
      <c r="A329" s="1" t="s">
        <v>117</v>
      </c>
      <c r="B329" s="1">
        <v>16</v>
      </c>
      <c r="C329" s="1" t="s">
        <v>422</v>
      </c>
      <c r="D329" s="1" t="s">
        <v>407</v>
      </c>
      <c r="E329" s="1" t="s">
        <v>26</v>
      </c>
      <c r="F329" s="2">
        <v>45694</v>
      </c>
      <c r="G329" s="1">
        <v>2025</v>
      </c>
      <c r="H329" s="1" t="s">
        <v>3</v>
      </c>
      <c r="I329" s="1" t="s">
        <v>127</v>
      </c>
      <c r="J329" s="1">
        <f t="shared" si="18"/>
        <v>0</v>
      </c>
      <c r="K329" s="7">
        <v>100000</v>
      </c>
      <c r="L329" s="7">
        <v>0</v>
      </c>
      <c r="M329" s="7">
        <f t="shared" si="16"/>
        <v>100000</v>
      </c>
      <c r="N329" s="9">
        <v>2</v>
      </c>
      <c r="O329" s="9">
        <v>2025</v>
      </c>
      <c r="P329" s="1">
        <v>1</v>
      </c>
      <c r="Q329" s="1" t="s">
        <v>39</v>
      </c>
      <c r="R329" s="1">
        <v>53995</v>
      </c>
      <c r="T329" s="1" t="s">
        <v>36</v>
      </c>
    </row>
    <row r="330" spans="1:21" x14ac:dyDescent="0.25">
      <c r="A330" s="1" t="s">
        <v>115</v>
      </c>
      <c r="B330" s="1">
        <v>13</v>
      </c>
      <c r="C330" s="1" t="s">
        <v>398</v>
      </c>
      <c r="D330" s="1" t="s">
        <v>399</v>
      </c>
      <c r="E330" s="1" t="s">
        <v>26</v>
      </c>
      <c r="F330" s="2">
        <v>45693</v>
      </c>
      <c r="G330" s="1">
        <v>2025</v>
      </c>
      <c r="H330" s="1" t="s">
        <v>3</v>
      </c>
      <c r="I330" s="1" t="s">
        <v>127</v>
      </c>
      <c r="J330" s="1">
        <f t="shared" si="18"/>
        <v>0</v>
      </c>
      <c r="K330" s="7">
        <v>50000</v>
      </c>
      <c r="L330" s="7">
        <v>0</v>
      </c>
      <c r="M330" s="7">
        <f t="shared" si="16"/>
        <v>50000</v>
      </c>
      <c r="N330" s="9">
        <v>2</v>
      </c>
      <c r="O330" s="9">
        <v>2025</v>
      </c>
      <c r="P330" s="1">
        <v>1</v>
      </c>
      <c r="Q330" s="1" t="s">
        <v>39</v>
      </c>
      <c r="R330" s="1" t="s">
        <v>116</v>
      </c>
      <c r="T330" s="1" t="s">
        <v>36</v>
      </c>
    </row>
    <row r="331" spans="1:21" x14ac:dyDescent="0.25">
      <c r="A331" s="1" t="s">
        <v>114</v>
      </c>
      <c r="B331" s="1">
        <v>3</v>
      </c>
      <c r="C331" s="1" t="s">
        <v>472</v>
      </c>
      <c r="D331" s="1" t="s">
        <v>410</v>
      </c>
      <c r="E331" s="1" t="s">
        <v>26</v>
      </c>
      <c r="F331" s="2">
        <v>45681</v>
      </c>
      <c r="G331" s="1">
        <v>2025</v>
      </c>
      <c r="H331" s="1" t="s">
        <v>3</v>
      </c>
      <c r="I331" s="1" t="s">
        <v>127</v>
      </c>
      <c r="J331" s="1">
        <f t="shared" si="18"/>
        <v>0</v>
      </c>
      <c r="K331" s="7">
        <v>40000</v>
      </c>
      <c r="L331" s="7">
        <v>0</v>
      </c>
      <c r="M331" s="7">
        <f t="shared" si="16"/>
        <v>40000</v>
      </c>
      <c r="N331" s="9">
        <v>2</v>
      </c>
      <c r="O331" s="9">
        <v>2025</v>
      </c>
      <c r="P331" s="1">
        <v>1</v>
      </c>
      <c r="Q331" s="1" t="s">
        <v>90</v>
      </c>
      <c r="R331" s="1">
        <v>49379</v>
      </c>
      <c r="S331" s="1">
        <v>2014</v>
      </c>
      <c r="T331" s="1" t="s">
        <v>36</v>
      </c>
    </row>
    <row r="332" spans="1:21" x14ac:dyDescent="0.25">
      <c r="A332" s="1" t="s">
        <v>96</v>
      </c>
      <c r="B332" s="1">
        <v>19</v>
      </c>
      <c r="C332" s="1" t="s">
        <v>338</v>
      </c>
      <c r="D332" s="1" t="s">
        <v>339</v>
      </c>
      <c r="E332" s="1" t="s">
        <v>26</v>
      </c>
      <c r="F332" s="2">
        <v>45667</v>
      </c>
      <c r="G332" s="1">
        <v>2025</v>
      </c>
      <c r="H332" s="1" t="s">
        <v>3</v>
      </c>
      <c r="I332" s="1" t="s">
        <v>127</v>
      </c>
      <c r="J332" s="1">
        <f t="shared" si="18"/>
        <v>0</v>
      </c>
      <c r="K332" s="7">
        <v>45000</v>
      </c>
      <c r="L332" s="7">
        <v>0</v>
      </c>
      <c r="M332" s="7">
        <f t="shared" si="16"/>
        <v>45000</v>
      </c>
      <c r="N332" s="9">
        <v>2</v>
      </c>
      <c r="O332" s="9">
        <v>2025</v>
      </c>
      <c r="P332" s="1">
        <v>1</v>
      </c>
      <c r="Q332" s="1" t="s">
        <v>39</v>
      </c>
      <c r="R332" s="1" t="s">
        <v>97</v>
      </c>
      <c r="T332" s="1" t="s">
        <v>36</v>
      </c>
    </row>
    <row r="333" spans="1:21" x14ac:dyDescent="0.25">
      <c r="A333" s="1" t="s">
        <v>98</v>
      </c>
      <c r="B333" s="1">
        <v>19</v>
      </c>
      <c r="C333" s="1" t="s">
        <v>338</v>
      </c>
      <c r="D333" s="1" t="s">
        <v>339</v>
      </c>
      <c r="E333" s="1" t="s">
        <v>26</v>
      </c>
      <c r="F333" s="2">
        <v>45667</v>
      </c>
      <c r="G333" s="1">
        <v>2025</v>
      </c>
      <c r="H333" s="1" t="s">
        <v>4</v>
      </c>
      <c r="I333" s="1" t="s">
        <v>127</v>
      </c>
      <c r="J333" s="1">
        <f t="shared" si="18"/>
        <v>0</v>
      </c>
      <c r="K333" s="7">
        <v>45000</v>
      </c>
      <c r="L333" s="7">
        <v>0</v>
      </c>
      <c r="M333" s="7">
        <f t="shared" si="16"/>
        <v>45000</v>
      </c>
      <c r="N333" s="9">
        <v>3</v>
      </c>
      <c r="O333" s="9">
        <v>2025</v>
      </c>
      <c r="P333" s="1">
        <v>1</v>
      </c>
      <c r="Q333" s="1" t="s">
        <v>39</v>
      </c>
      <c r="R333" s="1" t="s">
        <v>97</v>
      </c>
      <c r="T333" s="1" t="s">
        <v>36</v>
      </c>
    </row>
    <row r="334" spans="1:21" x14ac:dyDescent="0.25">
      <c r="A334" s="1" t="s">
        <v>99</v>
      </c>
      <c r="B334" s="1">
        <v>11</v>
      </c>
      <c r="C334" s="1" t="s">
        <v>417</v>
      </c>
      <c r="D334" s="1" t="s">
        <v>410</v>
      </c>
      <c r="E334" s="1" t="s">
        <v>26</v>
      </c>
      <c r="F334" s="2">
        <v>45667</v>
      </c>
      <c r="G334" s="1">
        <v>2025</v>
      </c>
      <c r="H334" s="1" t="s">
        <v>2</v>
      </c>
      <c r="I334" s="1" t="s">
        <v>127</v>
      </c>
      <c r="J334" s="1">
        <f t="shared" si="18"/>
        <v>0</v>
      </c>
      <c r="K334" s="7">
        <v>20000</v>
      </c>
      <c r="L334" s="7">
        <v>0</v>
      </c>
      <c r="M334" s="7">
        <f t="shared" si="16"/>
        <v>20000</v>
      </c>
      <c r="N334" s="9">
        <v>1</v>
      </c>
      <c r="O334" s="9">
        <v>2025</v>
      </c>
      <c r="P334" s="1">
        <v>1</v>
      </c>
      <c r="Q334" s="10" t="s">
        <v>80</v>
      </c>
      <c r="R334" s="1">
        <v>94610819</v>
      </c>
      <c r="S334" s="1">
        <v>8600</v>
      </c>
      <c r="T334" s="1" t="s">
        <v>36</v>
      </c>
    </row>
    <row r="335" spans="1:21" x14ac:dyDescent="0.25">
      <c r="A335" s="1" t="s">
        <v>109</v>
      </c>
      <c r="B335" s="1">
        <v>14</v>
      </c>
      <c r="C335" s="1" t="s">
        <v>523</v>
      </c>
      <c r="D335" s="1" t="s">
        <v>339</v>
      </c>
      <c r="E335" s="1" t="s">
        <v>26</v>
      </c>
      <c r="F335" s="2">
        <v>45667</v>
      </c>
      <c r="G335" s="1">
        <v>2025</v>
      </c>
      <c r="H335" s="1" t="s">
        <v>3</v>
      </c>
      <c r="I335" s="1" t="s">
        <v>127</v>
      </c>
      <c r="J335" s="1">
        <f t="shared" si="18"/>
        <v>0</v>
      </c>
      <c r="K335" s="7">
        <v>20000</v>
      </c>
      <c r="L335" s="7">
        <v>0</v>
      </c>
      <c r="M335" s="7">
        <f t="shared" si="16"/>
        <v>20000</v>
      </c>
      <c r="N335" s="9">
        <v>2</v>
      </c>
      <c r="O335" s="9">
        <v>2025</v>
      </c>
      <c r="P335" s="1">
        <v>1</v>
      </c>
      <c r="Q335" s="1" t="s">
        <v>33</v>
      </c>
      <c r="R335" s="1">
        <v>94203</v>
      </c>
      <c r="S335" s="1">
        <v>8883</v>
      </c>
      <c r="T335" s="1" t="s">
        <v>36</v>
      </c>
      <c r="U335" s="1" t="s">
        <v>104</v>
      </c>
    </row>
    <row r="336" spans="1:21" x14ac:dyDescent="0.25">
      <c r="A336" s="1" t="s">
        <v>110</v>
      </c>
      <c r="B336" s="1">
        <v>14</v>
      </c>
      <c r="C336" s="1" t="s">
        <v>523</v>
      </c>
      <c r="D336" s="1" t="s">
        <v>339</v>
      </c>
      <c r="E336" s="1" t="s">
        <v>26</v>
      </c>
      <c r="F336" s="2">
        <v>45667</v>
      </c>
      <c r="G336" s="1">
        <v>2025</v>
      </c>
      <c r="H336" s="1" t="s">
        <v>4</v>
      </c>
      <c r="I336" s="1" t="s">
        <v>127</v>
      </c>
      <c r="J336" s="1">
        <f t="shared" si="18"/>
        <v>0</v>
      </c>
      <c r="K336" s="7">
        <v>20000</v>
      </c>
      <c r="L336" s="7">
        <v>0</v>
      </c>
      <c r="M336" s="7">
        <f t="shared" si="16"/>
        <v>20000</v>
      </c>
      <c r="N336" s="9">
        <v>3</v>
      </c>
      <c r="O336" s="9">
        <v>2025</v>
      </c>
      <c r="P336" s="1">
        <v>1</v>
      </c>
      <c r="Q336" s="1" t="s">
        <v>33</v>
      </c>
      <c r="R336" s="1">
        <v>94203</v>
      </c>
      <c r="S336" s="1">
        <v>8883</v>
      </c>
      <c r="T336" s="1" t="s">
        <v>36</v>
      </c>
      <c r="U336" s="1" t="s">
        <v>104</v>
      </c>
    </row>
    <row r="337" spans="1:21" x14ac:dyDescent="0.25">
      <c r="A337" s="1" t="s">
        <v>111</v>
      </c>
      <c r="B337" s="1">
        <v>14</v>
      </c>
      <c r="C337" s="1" t="s">
        <v>523</v>
      </c>
      <c r="D337" s="1" t="s">
        <v>339</v>
      </c>
      <c r="E337" s="1" t="s">
        <v>26</v>
      </c>
      <c r="F337" s="2">
        <v>45667</v>
      </c>
      <c r="G337" s="1">
        <v>2025</v>
      </c>
      <c r="H337" s="1" t="s">
        <v>5</v>
      </c>
      <c r="I337" s="1" t="s">
        <v>127</v>
      </c>
      <c r="J337" s="1">
        <f t="shared" si="18"/>
        <v>0</v>
      </c>
      <c r="K337" s="7">
        <v>20000</v>
      </c>
      <c r="L337" s="7">
        <v>0</v>
      </c>
      <c r="M337" s="7">
        <f t="shared" si="16"/>
        <v>20000</v>
      </c>
      <c r="N337" s="9">
        <v>4</v>
      </c>
      <c r="O337" s="9">
        <v>2025</v>
      </c>
      <c r="P337" s="1">
        <v>1</v>
      </c>
      <c r="Q337" s="1" t="s">
        <v>33</v>
      </c>
      <c r="R337" s="1">
        <v>94203</v>
      </c>
      <c r="S337" s="1">
        <v>8883</v>
      </c>
      <c r="T337" s="1" t="s">
        <v>36</v>
      </c>
      <c r="U337" s="1" t="s">
        <v>104</v>
      </c>
    </row>
    <row r="338" spans="1:21" x14ac:dyDescent="0.25">
      <c r="A338" s="1" t="s">
        <v>112</v>
      </c>
      <c r="B338" s="1">
        <v>14</v>
      </c>
      <c r="C338" s="1" t="s">
        <v>523</v>
      </c>
      <c r="D338" s="1" t="s">
        <v>339</v>
      </c>
      <c r="E338" s="1" t="s">
        <v>26</v>
      </c>
      <c r="F338" s="2">
        <v>45667</v>
      </c>
      <c r="G338" s="1">
        <v>2025</v>
      </c>
      <c r="H338" s="1" t="s">
        <v>6</v>
      </c>
      <c r="I338" s="1" t="s">
        <v>127</v>
      </c>
      <c r="J338" s="1">
        <f t="shared" si="18"/>
        <v>0</v>
      </c>
      <c r="K338" s="7">
        <v>20000</v>
      </c>
      <c r="L338" s="7">
        <v>0</v>
      </c>
      <c r="M338" s="7">
        <f t="shared" ref="M338:M391" si="19">K338-L338</f>
        <v>20000</v>
      </c>
      <c r="N338" s="9">
        <v>5</v>
      </c>
      <c r="O338" s="9">
        <v>2025</v>
      </c>
      <c r="P338" s="1">
        <v>1</v>
      </c>
      <c r="Q338" s="1" t="s">
        <v>33</v>
      </c>
      <c r="R338" s="1">
        <v>94203</v>
      </c>
      <c r="S338" s="1">
        <v>8883</v>
      </c>
      <c r="T338" s="1" t="s">
        <v>36</v>
      </c>
      <c r="U338" s="1" t="s">
        <v>104</v>
      </c>
    </row>
    <row r="339" spans="1:21" x14ac:dyDescent="0.25">
      <c r="A339" s="1" t="s">
        <v>113</v>
      </c>
      <c r="B339" s="1">
        <v>14</v>
      </c>
      <c r="C339" s="1" t="s">
        <v>523</v>
      </c>
      <c r="D339" s="1" t="s">
        <v>339</v>
      </c>
      <c r="E339" s="1" t="s">
        <v>26</v>
      </c>
      <c r="F339" s="2">
        <v>45667</v>
      </c>
      <c r="G339" s="1">
        <v>2025</v>
      </c>
      <c r="H339" s="1" t="s">
        <v>7</v>
      </c>
      <c r="I339" s="1" t="s">
        <v>127</v>
      </c>
      <c r="J339" s="1">
        <f t="shared" si="18"/>
        <v>0</v>
      </c>
      <c r="K339" s="7">
        <v>20000</v>
      </c>
      <c r="L339" s="7">
        <v>0</v>
      </c>
      <c r="M339" s="7">
        <f t="shared" si="19"/>
        <v>20000</v>
      </c>
      <c r="N339" s="9">
        <v>6</v>
      </c>
      <c r="O339" s="9">
        <v>2025</v>
      </c>
      <c r="P339" s="1">
        <v>1</v>
      </c>
      <c r="Q339" s="1" t="s">
        <v>33</v>
      </c>
      <c r="R339" s="1">
        <v>94203</v>
      </c>
      <c r="S339" s="1">
        <v>8883</v>
      </c>
      <c r="T339" s="1" t="s">
        <v>36</v>
      </c>
      <c r="U339" s="1" t="s">
        <v>104</v>
      </c>
    </row>
    <row r="340" spans="1:21" x14ac:dyDescent="0.25">
      <c r="A340" s="1" t="s">
        <v>103</v>
      </c>
      <c r="B340" s="1">
        <v>17</v>
      </c>
      <c r="C340" s="1" t="s">
        <v>402</v>
      </c>
      <c r="D340" s="1" t="s">
        <v>524</v>
      </c>
      <c r="E340" s="1" t="s">
        <v>26</v>
      </c>
      <c r="F340" s="2">
        <v>45667</v>
      </c>
      <c r="G340" s="1">
        <v>2025</v>
      </c>
      <c r="H340" s="1" t="s">
        <v>3</v>
      </c>
      <c r="I340" s="1" t="s">
        <v>127</v>
      </c>
      <c r="J340" s="1">
        <f t="shared" si="18"/>
        <v>0</v>
      </c>
      <c r="K340" s="7">
        <v>20000</v>
      </c>
      <c r="L340" s="7">
        <v>0</v>
      </c>
      <c r="M340" s="7">
        <f t="shared" si="19"/>
        <v>20000</v>
      </c>
      <c r="N340" s="9">
        <v>2</v>
      </c>
      <c r="O340" s="9">
        <v>2025</v>
      </c>
      <c r="P340" s="1">
        <v>1</v>
      </c>
      <c r="Q340" s="1" t="s">
        <v>33</v>
      </c>
      <c r="R340" s="1">
        <v>94203</v>
      </c>
      <c r="S340" s="1">
        <v>8883</v>
      </c>
      <c r="T340" s="1" t="s">
        <v>36</v>
      </c>
      <c r="U340" s="1" t="s">
        <v>104</v>
      </c>
    </row>
    <row r="341" spans="1:21" x14ac:dyDescent="0.25">
      <c r="A341" s="1" t="s">
        <v>105</v>
      </c>
      <c r="B341" s="1">
        <v>17</v>
      </c>
      <c r="C341" s="1" t="s">
        <v>402</v>
      </c>
      <c r="D341" s="1" t="s">
        <v>524</v>
      </c>
      <c r="E341" s="1" t="s">
        <v>26</v>
      </c>
      <c r="F341" s="2">
        <v>45667</v>
      </c>
      <c r="G341" s="1">
        <v>2025</v>
      </c>
      <c r="H341" s="1" t="s">
        <v>4</v>
      </c>
      <c r="I341" s="1" t="s">
        <v>127</v>
      </c>
      <c r="J341" s="1">
        <f t="shared" si="18"/>
        <v>0</v>
      </c>
      <c r="K341" s="7">
        <v>20000</v>
      </c>
      <c r="L341" s="7">
        <v>0</v>
      </c>
      <c r="M341" s="7">
        <f t="shared" si="19"/>
        <v>20000</v>
      </c>
      <c r="N341" s="9">
        <v>3</v>
      </c>
      <c r="O341" s="9">
        <v>2025</v>
      </c>
      <c r="P341" s="1">
        <v>1</v>
      </c>
      <c r="Q341" s="1" t="s">
        <v>33</v>
      </c>
      <c r="R341" s="1">
        <v>94203</v>
      </c>
      <c r="S341" s="1">
        <v>8883</v>
      </c>
      <c r="T341" s="1" t="s">
        <v>36</v>
      </c>
      <c r="U341" s="1" t="s">
        <v>104</v>
      </c>
    </row>
    <row r="342" spans="1:21" x14ac:dyDescent="0.25">
      <c r="A342" s="1" t="s">
        <v>106</v>
      </c>
      <c r="B342" s="1">
        <v>17</v>
      </c>
      <c r="C342" s="1" t="s">
        <v>402</v>
      </c>
      <c r="D342" s="1" t="s">
        <v>524</v>
      </c>
      <c r="E342" s="1" t="s">
        <v>26</v>
      </c>
      <c r="F342" s="2">
        <v>45667</v>
      </c>
      <c r="G342" s="1">
        <v>2025</v>
      </c>
      <c r="H342" s="1" t="s">
        <v>5</v>
      </c>
      <c r="I342" s="1" t="s">
        <v>127</v>
      </c>
      <c r="J342" s="1">
        <f t="shared" si="18"/>
        <v>0</v>
      </c>
      <c r="K342" s="7">
        <v>20000</v>
      </c>
      <c r="L342" s="7">
        <v>0</v>
      </c>
      <c r="M342" s="7">
        <f t="shared" si="19"/>
        <v>20000</v>
      </c>
      <c r="N342" s="9">
        <v>4</v>
      </c>
      <c r="O342" s="9">
        <v>2025</v>
      </c>
      <c r="P342" s="1">
        <v>1</v>
      </c>
      <c r="Q342" s="1" t="s">
        <v>33</v>
      </c>
      <c r="R342" s="1">
        <v>94203</v>
      </c>
      <c r="S342" s="1">
        <v>8883</v>
      </c>
      <c r="T342" s="1" t="s">
        <v>36</v>
      </c>
      <c r="U342" s="1" t="s">
        <v>104</v>
      </c>
    </row>
    <row r="343" spans="1:21" x14ac:dyDescent="0.25">
      <c r="A343" s="1" t="s">
        <v>107</v>
      </c>
      <c r="B343" s="1">
        <v>17</v>
      </c>
      <c r="C343" s="1" t="s">
        <v>402</v>
      </c>
      <c r="D343" s="1" t="s">
        <v>524</v>
      </c>
      <c r="E343" s="1" t="s">
        <v>26</v>
      </c>
      <c r="F343" s="2">
        <v>45667</v>
      </c>
      <c r="G343" s="1">
        <v>2025</v>
      </c>
      <c r="H343" s="1" t="s">
        <v>6</v>
      </c>
      <c r="I343" s="1" t="s">
        <v>127</v>
      </c>
      <c r="J343" s="1">
        <f t="shared" si="18"/>
        <v>0</v>
      </c>
      <c r="K343" s="7">
        <v>20000</v>
      </c>
      <c r="L343" s="7">
        <v>0</v>
      </c>
      <c r="M343" s="7">
        <f t="shared" si="19"/>
        <v>20000</v>
      </c>
      <c r="N343" s="9">
        <v>5</v>
      </c>
      <c r="O343" s="9">
        <v>2025</v>
      </c>
      <c r="P343" s="1">
        <v>1</v>
      </c>
      <c r="Q343" s="1" t="s">
        <v>33</v>
      </c>
      <c r="R343" s="1">
        <v>94203</v>
      </c>
      <c r="S343" s="1">
        <v>8883</v>
      </c>
      <c r="T343" s="1" t="s">
        <v>36</v>
      </c>
      <c r="U343" s="1" t="s">
        <v>104</v>
      </c>
    </row>
    <row r="344" spans="1:21" x14ac:dyDescent="0.25">
      <c r="A344" s="1" t="s">
        <v>108</v>
      </c>
      <c r="B344" s="1">
        <v>17</v>
      </c>
      <c r="C344" s="1" t="s">
        <v>402</v>
      </c>
      <c r="D344" s="1" t="s">
        <v>524</v>
      </c>
      <c r="E344" s="1" t="s">
        <v>26</v>
      </c>
      <c r="F344" s="2">
        <v>45667</v>
      </c>
      <c r="G344" s="1">
        <v>2025</v>
      </c>
      <c r="H344" s="1" t="s">
        <v>7</v>
      </c>
      <c r="I344" s="1" t="s">
        <v>127</v>
      </c>
      <c r="J344" s="1">
        <f t="shared" si="18"/>
        <v>0</v>
      </c>
      <c r="K344" s="7">
        <v>20000</v>
      </c>
      <c r="L344" s="7">
        <v>0</v>
      </c>
      <c r="M344" s="7">
        <f t="shared" si="19"/>
        <v>20000</v>
      </c>
      <c r="N344" s="9">
        <v>6</v>
      </c>
      <c r="O344" s="9">
        <v>2025</v>
      </c>
      <c r="P344" s="1">
        <v>1</v>
      </c>
      <c r="Q344" s="1" t="s">
        <v>33</v>
      </c>
      <c r="R344" s="1">
        <v>94203</v>
      </c>
      <c r="S344" s="1">
        <v>8883</v>
      </c>
      <c r="T344" s="1" t="s">
        <v>36</v>
      </c>
      <c r="U344" s="1" t="s">
        <v>104</v>
      </c>
    </row>
    <row r="345" spans="1:21" x14ac:dyDescent="0.25">
      <c r="A345" s="1" t="s">
        <v>93</v>
      </c>
      <c r="B345" s="1">
        <v>16</v>
      </c>
      <c r="C345" s="1" t="s">
        <v>422</v>
      </c>
      <c r="D345" s="1" t="s">
        <v>407</v>
      </c>
      <c r="E345" s="1" t="s">
        <v>26</v>
      </c>
      <c r="F345" s="2">
        <v>45666</v>
      </c>
      <c r="G345" s="1">
        <v>2025</v>
      </c>
      <c r="H345" s="1" t="s">
        <v>2</v>
      </c>
      <c r="I345" s="1" t="s">
        <v>127</v>
      </c>
      <c r="J345" s="1">
        <f t="shared" si="18"/>
        <v>0</v>
      </c>
      <c r="K345" s="7">
        <v>50000</v>
      </c>
      <c r="L345" s="7">
        <v>0</v>
      </c>
      <c r="M345" s="7">
        <f t="shared" si="19"/>
        <v>50000</v>
      </c>
      <c r="N345" s="9">
        <v>1</v>
      </c>
      <c r="O345" s="9">
        <v>2025</v>
      </c>
      <c r="P345" s="1">
        <v>1</v>
      </c>
      <c r="Q345" s="1" t="s">
        <v>39</v>
      </c>
      <c r="R345" s="1" t="s">
        <v>94</v>
      </c>
      <c r="T345" s="1" t="s">
        <v>36</v>
      </c>
    </row>
    <row r="346" spans="1:21" x14ac:dyDescent="0.25">
      <c r="A346" s="1" t="s">
        <v>95</v>
      </c>
      <c r="B346" s="1">
        <v>1</v>
      </c>
      <c r="C346" s="1" t="s">
        <v>527</v>
      </c>
      <c r="D346" s="1" t="s">
        <v>346</v>
      </c>
      <c r="E346" s="1" t="s">
        <v>26</v>
      </c>
      <c r="F346" s="2">
        <v>45666</v>
      </c>
      <c r="G346" s="1">
        <v>2025</v>
      </c>
      <c r="H346" s="1" t="s">
        <v>2</v>
      </c>
      <c r="I346" s="1" t="s">
        <v>127</v>
      </c>
      <c r="J346" s="1">
        <f t="shared" si="18"/>
        <v>0</v>
      </c>
      <c r="K346" s="7">
        <v>100000</v>
      </c>
      <c r="L346" s="7">
        <v>0</v>
      </c>
      <c r="M346" s="7">
        <f t="shared" si="19"/>
        <v>100000</v>
      </c>
      <c r="N346" s="9">
        <v>1</v>
      </c>
      <c r="O346" s="9">
        <v>2025</v>
      </c>
      <c r="P346" s="1">
        <v>1</v>
      </c>
      <c r="Q346" s="1" t="s">
        <v>39</v>
      </c>
      <c r="R346" s="1">
        <v>25583093</v>
      </c>
      <c r="S346" s="1" t="s">
        <v>120</v>
      </c>
      <c r="T346" s="1" t="s">
        <v>36</v>
      </c>
    </row>
    <row r="347" spans="1:21" x14ac:dyDescent="0.25">
      <c r="A347" s="1" t="s">
        <v>86</v>
      </c>
      <c r="B347" s="1">
        <v>15</v>
      </c>
      <c r="C347" s="1" t="s">
        <v>394</v>
      </c>
      <c r="D347" s="1" t="s">
        <v>395</v>
      </c>
      <c r="E347" s="1" t="s">
        <v>26</v>
      </c>
      <c r="F347" s="2">
        <v>45665</v>
      </c>
      <c r="G347" s="1">
        <v>2025</v>
      </c>
      <c r="H347" s="1" t="s">
        <v>2</v>
      </c>
      <c r="I347" s="1" t="s">
        <v>127</v>
      </c>
      <c r="J347" s="1">
        <f t="shared" si="18"/>
        <v>0</v>
      </c>
      <c r="K347" s="7">
        <v>20000</v>
      </c>
      <c r="L347" s="7">
        <v>0</v>
      </c>
      <c r="M347" s="7">
        <f t="shared" si="19"/>
        <v>20000</v>
      </c>
      <c r="N347" s="9">
        <v>1</v>
      </c>
      <c r="O347" s="9">
        <v>2025</v>
      </c>
      <c r="P347" s="1">
        <v>1</v>
      </c>
      <c r="Q347" s="1" t="s">
        <v>39</v>
      </c>
      <c r="R347" s="1" t="s">
        <v>88</v>
      </c>
      <c r="T347" s="1" t="s">
        <v>36</v>
      </c>
    </row>
    <row r="348" spans="1:21" x14ac:dyDescent="0.25">
      <c r="A348" s="1" t="s">
        <v>87</v>
      </c>
      <c r="B348" s="1">
        <v>15</v>
      </c>
      <c r="C348" s="1" t="s">
        <v>394</v>
      </c>
      <c r="D348" s="1" t="s">
        <v>395</v>
      </c>
      <c r="E348" s="1" t="s">
        <v>26</v>
      </c>
      <c r="F348" s="2">
        <v>45665</v>
      </c>
      <c r="G348" s="1">
        <v>2025</v>
      </c>
      <c r="H348" s="1" t="s">
        <v>3</v>
      </c>
      <c r="I348" s="1" t="s">
        <v>127</v>
      </c>
      <c r="J348" s="1">
        <f t="shared" si="18"/>
        <v>0</v>
      </c>
      <c r="K348" s="7">
        <v>20000</v>
      </c>
      <c r="L348" s="7">
        <v>0</v>
      </c>
      <c r="M348" s="7">
        <f t="shared" si="19"/>
        <v>20000</v>
      </c>
      <c r="N348" s="9">
        <v>2</v>
      </c>
      <c r="O348" s="9">
        <v>2025</v>
      </c>
      <c r="P348" s="1">
        <v>1</v>
      </c>
      <c r="Q348" s="1" t="s">
        <v>39</v>
      </c>
      <c r="R348" s="1" t="s">
        <v>88</v>
      </c>
      <c r="T348" s="1" t="s">
        <v>36</v>
      </c>
    </row>
    <row r="349" spans="1:21" x14ac:dyDescent="0.25">
      <c r="A349" s="1" t="s">
        <v>91</v>
      </c>
      <c r="B349" s="1">
        <v>4</v>
      </c>
      <c r="C349" s="1" t="s">
        <v>525</v>
      </c>
      <c r="D349" s="1" t="s">
        <v>526</v>
      </c>
      <c r="E349" s="1" t="s">
        <v>26</v>
      </c>
      <c r="F349" s="2">
        <v>45665</v>
      </c>
      <c r="G349" s="1">
        <v>2025</v>
      </c>
      <c r="H349" s="1" t="s">
        <v>2</v>
      </c>
      <c r="I349" s="1" t="s">
        <v>127</v>
      </c>
      <c r="J349" s="1">
        <f t="shared" si="18"/>
        <v>0</v>
      </c>
      <c r="K349" s="7">
        <v>100000</v>
      </c>
      <c r="L349" s="7">
        <v>0</v>
      </c>
      <c r="M349" s="7">
        <f t="shared" si="19"/>
        <v>100000</v>
      </c>
      <c r="N349" s="9">
        <v>1</v>
      </c>
      <c r="O349" s="9">
        <v>2025</v>
      </c>
      <c r="P349" s="1">
        <v>1</v>
      </c>
      <c r="Q349" s="1" t="s">
        <v>39</v>
      </c>
      <c r="R349" s="1" t="s">
        <v>92</v>
      </c>
      <c r="T349" s="1" t="s">
        <v>36</v>
      </c>
    </row>
    <row r="350" spans="1:21" x14ac:dyDescent="0.25">
      <c r="A350" s="1" t="s">
        <v>89</v>
      </c>
      <c r="B350" s="1">
        <v>3</v>
      </c>
      <c r="C350" s="1" t="s">
        <v>472</v>
      </c>
      <c r="D350" s="1" t="s">
        <v>410</v>
      </c>
      <c r="E350" s="1" t="s">
        <v>26</v>
      </c>
      <c r="F350" s="2">
        <v>45665</v>
      </c>
      <c r="G350" s="1">
        <v>2025</v>
      </c>
      <c r="H350" s="1" t="s">
        <v>2</v>
      </c>
      <c r="I350" s="1" t="s">
        <v>127</v>
      </c>
      <c r="J350" s="1">
        <f t="shared" si="18"/>
        <v>0</v>
      </c>
      <c r="K350" s="7">
        <v>40000</v>
      </c>
      <c r="L350" s="7">
        <v>0</v>
      </c>
      <c r="M350" s="7">
        <f t="shared" si="19"/>
        <v>40000</v>
      </c>
      <c r="N350" s="9">
        <v>1</v>
      </c>
      <c r="O350" s="9">
        <v>2025</v>
      </c>
      <c r="P350" s="1">
        <v>1</v>
      </c>
      <c r="Q350" s="1" t="s">
        <v>90</v>
      </c>
      <c r="R350" s="1">
        <v>18351</v>
      </c>
      <c r="S350" s="1">
        <v>2014</v>
      </c>
      <c r="T350" s="1" t="s">
        <v>36</v>
      </c>
    </row>
    <row r="351" spans="1:21" x14ac:dyDescent="0.25">
      <c r="A351" s="1" t="s">
        <v>78</v>
      </c>
      <c r="B351" s="1">
        <v>6</v>
      </c>
      <c r="C351" s="1" t="s">
        <v>415</v>
      </c>
      <c r="D351" s="1" t="s">
        <v>416</v>
      </c>
      <c r="E351" s="1" t="s">
        <v>26</v>
      </c>
      <c r="F351" s="2">
        <v>45664</v>
      </c>
      <c r="G351" s="1">
        <v>2025</v>
      </c>
      <c r="H351" s="1" t="s">
        <v>2</v>
      </c>
      <c r="I351" s="1" t="s">
        <v>127</v>
      </c>
      <c r="J351" s="1">
        <f t="shared" si="18"/>
        <v>0</v>
      </c>
      <c r="K351" s="7">
        <v>20000</v>
      </c>
      <c r="L351" s="7">
        <v>0</v>
      </c>
      <c r="M351" s="7">
        <f t="shared" si="19"/>
        <v>20000</v>
      </c>
      <c r="N351" s="9">
        <v>1</v>
      </c>
      <c r="O351" s="9">
        <v>2025</v>
      </c>
      <c r="P351" s="1">
        <v>1</v>
      </c>
      <c r="Q351" s="10" t="s">
        <v>80</v>
      </c>
      <c r="R351" s="1">
        <v>94370810</v>
      </c>
      <c r="S351" s="1">
        <v>8600</v>
      </c>
      <c r="T351" s="1" t="s">
        <v>36</v>
      </c>
    </row>
    <row r="352" spans="1:21" x14ac:dyDescent="0.25">
      <c r="A352" s="1" t="s">
        <v>79</v>
      </c>
      <c r="B352" s="1">
        <v>6</v>
      </c>
      <c r="C352" s="1" t="s">
        <v>415</v>
      </c>
      <c r="D352" s="1" t="s">
        <v>416</v>
      </c>
      <c r="E352" s="1" t="s">
        <v>26</v>
      </c>
      <c r="F352" s="2">
        <v>45664</v>
      </c>
      <c r="G352" s="1">
        <v>2025</v>
      </c>
      <c r="H352" s="1" t="s">
        <v>3</v>
      </c>
      <c r="I352" s="1" t="s">
        <v>127</v>
      </c>
      <c r="J352" s="1">
        <f t="shared" si="18"/>
        <v>0</v>
      </c>
      <c r="K352" s="7">
        <v>20000</v>
      </c>
      <c r="L352" s="7">
        <v>0</v>
      </c>
      <c r="M352" s="7">
        <f t="shared" si="19"/>
        <v>20000</v>
      </c>
      <c r="N352" s="9">
        <v>2</v>
      </c>
      <c r="O352" s="9">
        <v>2025</v>
      </c>
      <c r="P352" s="1">
        <v>1</v>
      </c>
      <c r="Q352" s="10" t="s">
        <v>80</v>
      </c>
      <c r="R352" s="1">
        <v>94370810</v>
      </c>
      <c r="S352" s="1">
        <v>8600</v>
      </c>
      <c r="T352" s="1" t="s">
        <v>36</v>
      </c>
    </row>
    <row r="353" spans="1:21" x14ac:dyDescent="0.25">
      <c r="A353" s="1" t="s">
        <v>83</v>
      </c>
      <c r="B353" s="1">
        <v>10</v>
      </c>
      <c r="C353" s="1" t="s">
        <v>345</v>
      </c>
      <c r="D353" s="1" t="s">
        <v>346</v>
      </c>
      <c r="E353" s="1" t="s">
        <v>26</v>
      </c>
      <c r="F353" s="2">
        <v>45664</v>
      </c>
      <c r="G353" s="1">
        <v>2025</v>
      </c>
      <c r="H353" s="1" t="s">
        <v>2</v>
      </c>
      <c r="I353" s="1" t="s">
        <v>127</v>
      </c>
      <c r="J353" s="1">
        <f t="shared" si="18"/>
        <v>0</v>
      </c>
      <c r="K353" s="7">
        <v>50000</v>
      </c>
      <c r="L353" s="7">
        <v>0</v>
      </c>
      <c r="M353" s="7">
        <f t="shared" si="19"/>
        <v>50000</v>
      </c>
      <c r="N353" s="9">
        <v>1</v>
      </c>
      <c r="O353" s="9">
        <v>2025</v>
      </c>
      <c r="P353" s="1">
        <v>1</v>
      </c>
      <c r="Q353" s="1" t="s">
        <v>84</v>
      </c>
      <c r="T353" s="1" t="s">
        <v>36</v>
      </c>
    </row>
    <row r="354" spans="1:21" x14ac:dyDescent="0.25">
      <c r="A354" s="1" t="s">
        <v>82</v>
      </c>
      <c r="B354" s="1">
        <v>7</v>
      </c>
      <c r="C354" s="1" t="s">
        <v>514</v>
      </c>
      <c r="D354" s="1" t="s">
        <v>515</v>
      </c>
      <c r="E354" s="1" t="s">
        <v>26</v>
      </c>
      <c r="F354" s="2">
        <v>45664</v>
      </c>
      <c r="G354" s="1">
        <v>2025</v>
      </c>
      <c r="H354" s="1" t="s">
        <v>2</v>
      </c>
      <c r="I354" s="1" t="s">
        <v>127</v>
      </c>
      <c r="J354" s="1">
        <f t="shared" si="18"/>
        <v>0</v>
      </c>
      <c r="K354" s="7">
        <v>50000</v>
      </c>
      <c r="L354" s="7">
        <v>0</v>
      </c>
      <c r="M354" s="7">
        <f t="shared" si="19"/>
        <v>50000</v>
      </c>
      <c r="N354" s="9">
        <v>1</v>
      </c>
      <c r="O354" s="9">
        <v>2025</v>
      </c>
      <c r="P354" s="1">
        <v>1</v>
      </c>
      <c r="Q354" s="10" t="s">
        <v>80</v>
      </c>
      <c r="R354" s="1">
        <v>94370833</v>
      </c>
      <c r="S354" s="1">
        <v>9030</v>
      </c>
      <c r="T354" s="1" t="s">
        <v>36</v>
      </c>
    </row>
    <row r="355" spans="1:21" x14ac:dyDescent="0.25">
      <c r="A355" s="1" t="s">
        <v>81</v>
      </c>
      <c r="B355" s="1">
        <v>2</v>
      </c>
      <c r="C355" s="1" t="s">
        <v>414</v>
      </c>
      <c r="D355" s="1" t="s">
        <v>410</v>
      </c>
      <c r="E355" s="1" t="s">
        <v>26</v>
      </c>
      <c r="F355" s="2">
        <v>45664</v>
      </c>
      <c r="G355" s="1">
        <v>2025</v>
      </c>
      <c r="H355" s="1" t="s">
        <v>2</v>
      </c>
      <c r="I355" s="1" t="s">
        <v>127</v>
      </c>
      <c r="J355" s="1">
        <f t="shared" si="18"/>
        <v>0</v>
      </c>
      <c r="K355" s="7">
        <v>50000</v>
      </c>
      <c r="L355" s="7">
        <v>0</v>
      </c>
      <c r="M355" s="7">
        <f t="shared" si="19"/>
        <v>50000</v>
      </c>
      <c r="N355" s="9">
        <v>1</v>
      </c>
      <c r="O355" s="9">
        <v>2025</v>
      </c>
      <c r="P355" s="1">
        <v>1</v>
      </c>
      <c r="Q355" s="10" t="s">
        <v>80</v>
      </c>
      <c r="R355" s="1">
        <v>94370821</v>
      </c>
      <c r="S355" s="1">
        <v>8600</v>
      </c>
      <c r="T355" s="1" t="s">
        <v>36</v>
      </c>
    </row>
    <row r="356" spans="1:21" x14ac:dyDescent="0.25">
      <c r="A356" s="1" t="s">
        <v>85</v>
      </c>
      <c r="B356" s="1">
        <v>9</v>
      </c>
      <c r="C356" s="1" t="s">
        <v>402</v>
      </c>
      <c r="D356" s="1" t="s">
        <v>346</v>
      </c>
      <c r="E356" s="1" t="s">
        <v>26</v>
      </c>
      <c r="F356" s="2">
        <v>45664</v>
      </c>
      <c r="G356" s="1">
        <v>2025</v>
      </c>
      <c r="H356" s="1" t="s">
        <v>2</v>
      </c>
      <c r="I356" s="1" t="s">
        <v>127</v>
      </c>
      <c r="J356" s="1">
        <f t="shared" si="18"/>
        <v>0</v>
      </c>
      <c r="K356" s="7">
        <v>100000</v>
      </c>
      <c r="L356" s="7">
        <v>0</v>
      </c>
      <c r="M356" s="7">
        <f t="shared" si="19"/>
        <v>100000</v>
      </c>
      <c r="N356" s="9">
        <v>1</v>
      </c>
      <c r="O356" s="9">
        <v>2025</v>
      </c>
      <c r="P356" s="1">
        <v>1</v>
      </c>
      <c r="Q356" s="1" t="s">
        <v>84</v>
      </c>
      <c r="T356" s="1" t="s">
        <v>36</v>
      </c>
    </row>
    <row r="357" spans="1:21" x14ac:dyDescent="0.25">
      <c r="A357" s="1" t="s">
        <v>76</v>
      </c>
      <c r="B357" s="1">
        <v>13</v>
      </c>
      <c r="C357" s="1" t="s">
        <v>398</v>
      </c>
      <c r="D357" s="1" t="s">
        <v>399</v>
      </c>
      <c r="E357" s="1" t="s">
        <v>26</v>
      </c>
      <c r="F357" s="2">
        <v>45662</v>
      </c>
      <c r="G357" s="1">
        <v>2025</v>
      </c>
      <c r="H357" s="1" t="s">
        <v>2</v>
      </c>
      <c r="I357" s="1" t="s">
        <v>127</v>
      </c>
      <c r="J357" s="1">
        <f t="shared" si="18"/>
        <v>0</v>
      </c>
      <c r="K357" s="7">
        <v>50000</v>
      </c>
      <c r="L357" s="7">
        <v>0</v>
      </c>
      <c r="M357" s="7">
        <f t="shared" si="19"/>
        <v>50000</v>
      </c>
      <c r="N357" s="9">
        <v>1</v>
      </c>
      <c r="O357" s="9">
        <v>2025</v>
      </c>
      <c r="P357" s="1">
        <v>1</v>
      </c>
      <c r="Q357" s="1" t="s">
        <v>39</v>
      </c>
      <c r="R357" s="1" t="s">
        <v>77</v>
      </c>
      <c r="T357" s="1" t="s">
        <v>36</v>
      </c>
    </row>
    <row r="358" spans="1:21" x14ac:dyDescent="0.25">
      <c r="A358" s="1" t="s">
        <v>74</v>
      </c>
      <c r="B358" s="1">
        <v>8</v>
      </c>
      <c r="C358" s="1" t="s">
        <v>409</v>
      </c>
      <c r="D358" s="1" t="s">
        <v>410</v>
      </c>
      <c r="E358" s="1" t="s">
        <v>26</v>
      </c>
      <c r="F358" s="2">
        <v>45660</v>
      </c>
      <c r="G358" s="1">
        <v>2025</v>
      </c>
      <c r="H358" s="1" t="s">
        <v>2</v>
      </c>
      <c r="I358" s="1" t="s">
        <v>127</v>
      </c>
      <c r="J358" s="1">
        <f t="shared" si="18"/>
        <v>0</v>
      </c>
      <c r="K358" s="7">
        <v>200000</v>
      </c>
      <c r="L358" s="7">
        <v>0</v>
      </c>
      <c r="M358" s="7">
        <f t="shared" si="19"/>
        <v>200000</v>
      </c>
      <c r="N358" s="9">
        <v>1</v>
      </c>
      <c r="O358" s="9">
        <v>2025</v>
      </c>
      <c r="P358" s="1">
        <v>1</v>
      </c>
      <c r="Q358" s="1" t="s">
        <v>39</v>
      </c>
      <c r="R358" s="1" t="s">
        <v>75</v>
      </c>
      <c r="T358" s="1" t="s">
        <v>36</v>
      </c>
    </row>
    <row r="359" spans="1:21" x14ac:dyDescent="0.25">
      <c r="A359" s="1" t="s">
        <v>53</v>
      </c>
      <c r="B359" s="1">
        <v>19</v>
      </c>
      <c r="C359" s="1" t="s">
        <v>338</v>
      </c>
      <c r="D359" s="1" t="s">
        <v>339</v>
      </c>
      <c r="E359" s="1" t="s">
        <v>26</v>
      </c>
      <c r="F359" s="2">
        <v>45656</v>
      </c>
      <c r="G359" s="1">
        <v>2024</v>
      </c>
      <c r="H359" s="1" t="s">
        <v>2</v>
      </c>
      <c r="I359" s="1" t="s">
        <v>127</v>
      </c>
      <c r="J359" s="1">
        <f t="shared" si="18"/>
        <v>0</v>
      </c>
      <c r="K359" s="7">
        <v>2500</v>
      </c>
      <c r="L359" s="7">
        <v>0</v>
      </c>
      <c r="M359" s="7">
        <f t="shared" si="19"/>
        <v>2500</v>
      </c>
      <c r="N359" s="9">
        <v>1</v>
      </c>
      <c r="O359" s="9">
        <v>2025</v>
      </c>
      <c r="P359" s="1">
        <v>1</v>
      </c>
      <c r="Q359" s="1" t="s">
        <v>39</v>
      </c>
      <c r="R359" s="1" t="s">
        <v>40</v>
      </c>
      <c r="T359" s="1" t="s">
        <v>36</v>
      </c>
      <c r="U359" s="1" t="s">
        <v>41</v>
      </c>
    </row>
    <row r="360" spans="1:21" x14ac:dyDescent="0.25">
      <c r="A360" s="1" t="s">
        <v>56</v>
      </c>
      <c r="B360" s="1">
        <v>19</v>
      </c>
      <c r="C360" s="1" t="s">
        <v>338</v>
      </c>
      <c r="D360" s="1" t="s">
        <v>339</v>
      </c>
      <c r="E360" s="1" t="s">
        <v>26</v>
      </c>
      <c r="F360" s="2">
        <v>45656</v>
      </c>
      <c r="G360" s="1">
        <v>2024</v>
      </c>
      <c r="H360" s="1" t="s">
        <v>2</v>
      </c>
      <c r="I360" s="1" t="s">
        <v>127</v>
      </c>
      <c r="J360" s="1">
        <f t="shared" si="18"/>
        <v>0</v>
      </c>
      <c r="K360" s="7">
        <v>100000</v>
      </c>
      <c r="L360" s="7">
        <v>0</v>
      </c>
      <c r="M360" s="7">
        <f t="shared" si="19"/>
        <v>100000</v>
      </c>
      <c r="N360" s="9">
        <v>1</v>
      </c>
      <c r="O360" s="9">
        <v>2025</v>
      </c>
      <c r="P360" s="1">
        <v>1</v>
      </c>
      <c r="Q360" s="1" t="s">
        <v>39</v>
      </c>
      <c r="R360" s="1" t="s">
        <v>40</v>
      </c>
      <c r="T360" s="1" t="s">
        <v>36</v>
      </c>
    </row>
    <row r="361" spans="1:21" x14ac:dyDescent="0.25">
      <c r="A361" s="1" t="s">
        <v>585</v>
      </c>
      <c r="B361" s="1">
        <v>19</v>
      </c>
      <c r="C361" s="1" t="s">
        <v>338</v>
      </c>
      <c r="D361" s="1" t="s">
        <v>339</v>
      </c>
      <c r="E361" s="1" t="s">
        <v>587</v>
      </c>
      <c r="F361" s="2">
        <v>45656</v>
      </c>
      <c r="G361" s="1">
        <v>2024</v>
      </c>
      <c r="H361" s="1" t="s">
        <v>2</v>
      </c>
      <c r="K361" s="7">
        <v>-8000</v>
      </c>
      <c r="L361" s="7">
        <v>0</v>
      </c>
      <c r="M361" s="7">
        <f t="shared" si="19"/>
        <v>-8000</v>
      </c>
      <c r="N361" s="9">
        <v>1</v>
      </c>
      <c r="O361" s="9">
        <v>2025</v>
      </c>
      <c r="P361" s="1">
        <v>1</v>
      </c>
      <c r="T361" s="1" t="s">
        <v>28</v>
      </c>
      <c r="U361" s="1" t="s">
        <v>588</v>
      </c>
    </row>
    <row r="362" spans="1:21" x14ac:dyDescent="0.25">
      <c r="A362" s="1" t="s">
        <v>54</v>
      </c>
      <c r="B362" s="1">
        <v>20</v>
      </c>
      <c r="C362" s="1" t="s">
        <v>520</v>
      </c>
      <c r="D362" s="1" t="s">
        <v>410</v>
      </c>
      <c r="E362" s="1" t="s">
        <v>26</v>
      </c>
      <c r="F362" s="2">
        <v>45656</v>
      </c>
      <c r="G362" s="1">
        <v>2024</v>
      </c>
      <c r="H362" s="1" t="s">
        <v>2</v>
      </c>
      <c r="I362" s="1" t="s">
        <v>127</v>
      </c>
      <c r="J362" s="1">
        <f t="shared" ref="J362:J391" si="20">0*0</f>
        <v>0</v>
      </c>
      <c r="K362" s="7">
        <v>100000</v>
      </c>
      <c r="L362" s="7">
        <f>1000*J362</f>
        <v>0</v>
      </c>
      <c r="M362" s="7">
        <f t="shared" si="19"/>
        <v>100000</v>
      </c>
      <c r="N362" s="9">
        <v>1</v>
      </c>
      <c r="O362" s="9">
        <v>2025</v>
      </c>
      <c r="P362" s="1">
        <v>1</v>
      </c>
      <c r="Q362" s="1" t="s">
        <v>33</v>
      </c>
      <c r="R362" s="1" t="s">
        <v>55</v>
      </c>
      <c r="S362" s="1">
        <v>6438</v>
      </c>
      <c r="T362" s="1" t="s">
        <v>36</v>
      </c>
    </row>
    <row r="363" spans="1:21" x14ac:dyDescent="0.25">
      <c r="A363" s="1" t="s">
        <v>51</v>
      </c>
      <c r="B363" s="1">
        <v>14</v>
      </c>
      <c r="C363" s="1" t="s">
        <v>523</v>
      </c>
      <c r="D363" s="1" t="s">
        <v>339</v>
      </c>
      <c r="E363" s="1" t="s">
        <v>26</v>
      </c>
      <c r="F363" s="2">
        <v>45654</v>
      </c>
      <c r="G363" s="1">
        <v>2024</v>
      </c>
      <c r="H363" s="1" t="s">
        <v>2</v>
      </c>
      <c r="I363" s="1" t="s">
        <v>127</v>
      </c>
      <c r="J363" s="1">
        <f t="shared" si="20"/>
        <v>0</v>
      </c>
      <c r="K363" s="7">
        <v>20000</v>
      </c>
      <c r="L363" s="7">
        <v>0</v>
      </c>
      <c r="M363" s="7">
        <f t="shared" si="19"/>
        <v>20000</v>
      </c>
      <c r="N363" s="9">
        <v>1</v>
      </c>
      <c r="O363" s="9">
        <v>2025</v>
      </c>
      <c r="P363" s="1">
        <v>1</v>
      </c>
      <c r="Q363" s="1" t="s">
        <v>33</v>
      </c>
      <c r="R363" s="1" t="s">
        <v>34</v>
      </c>
      <c r="S363" s="5" t="s">
        <v>35</v>
      </c>
      <c r="T363" s="1" t="s">
        <v>36</v>
      </c>
    </row>
    <row r="364" spans="1:21" x14ac:dyDescent="0.25">
      <c r="A364" s="1" t="s">
        <v>52</v>
      </c>
      <c r="B364" s="1">
        <v>17</v>
      </c>
      <c r="C364" s="1" t="s">
        <v>402</v>
      </c>
      <c r="D364" s="1" t="s">
        <v>524</v>
      </c>
      <c r="E364" s="1" t="s">
        <v>26</v>
      </c>
      <c r="F364" s="2">
        <v>45654</v>
      </c>
      <c r="G364" s="1">
        <v>2024</v>
      </c>
      <c r="H364" s="1" t="s">
        <v>2</v>
      </c>
      <c r="I364" s="1" t="s">
        <v>127</v>
      </c>
      <c r="J364" s="1">
        <f t="shared" si="20"/>
        <v>0</v>
      </c>
      <c r="K364" s="7">
        <v>20000</v>
      </c>
      <c r="L364" s="7">
        <v>0</v>
      </c>
      <c r="M364" s="7">
        <f t="shared" si="19"/>
        <v>20000</v>
      </c>
      <c r="N364" s="9">
        <v>1</v>
      </c>
      <c r="O364" s="9">
        <v>2025</v>
      </c>
      <c r="P364" s="1">
        <v>1</v>
      </c>
      <c r="Q364" s="1" t="s">
        <v>33</v>
      </c>
      <c r="R364" s="1" t="s">
        <v>34</v>
      </c>
      <c r="S364" s="5" t="s">
        <v>35</v>
      </c>
      <c r="T364" s="1" t="s">
        <v>36</v>
      </c>
    </row>
    <row r="365" spans="1:21" x14ac:dyDescent="0.25">
      <c r="A365" s="1" t="s">
        <v>72</v>
      </c>
      <c r="B365" s="1">
        <v>12</v>
      </c>
      <c r="C365" s="1" t="s">
        <v>521</v>
      </c>
      <c r="D365" s="1" t="s">
        <v>522</v>
      </c>
      <c r="E365" s="1" t="s">
        <v>26</v>
      </c>
      <c r="F365" s="2">
        <v>45653</v>
      </c>
      <c r="G365" s="1">
        <v>2024</v>
      </c>
      <c r="H365" s="1" t="s">
        <v>2</v>
      </c>
      <c r="I365" s="1" t="s">
        <v>127</v>
      </c>
      <c r="J365" s="1">
        <f t="shared" si="20"/>
        <v>0</v>
      </c>
      <c r="K365" s="7">
        <v>100000</v>
      </c>
      <c r="L365" s="7">
        <f>1000*J365</f>
        <v>0</v>
      </c>
      <c r="M365" s="7">
        <f t="shared" si="19"/>
        <v>100000</v>
      </c>
      <c r="N365" s="9">
        <v>1</v>
      </c>
      <c r="O365" s="9">
        <v>2025</v>
      </c>
      <c r="P365" s="1">
        <v>1</v>
      </c>
      <c r="Q365" s="1" t="s">
        <v>33</v>
      </c>
      <c r="R365" s="1" t="s">
        <v>73</v>
      </c>
      <c r="S365" s="5">
        <v>3406</v>
      </c>
      <c r="T365" s="1" t="s">
        <v>36</v>
      </c>
    </row>
    <row r="366" spans="1:21" x14ac:dyDescent="0.25">
      <c r="A366" s="1" t="s">
        <v>25</v>
      </c>
      <c r="B366" s="1">
        <v>18</v>
      </c>
      <c r="C366" s="1" t="s">
        <v>406</v>
      </c>
      <c r="D366" s="1" t="s">
        <v>407</v>
      </c>
      <c r="E366" s="1" t="s">
        <v>26</v>
      </c>
      <c r="F366" s="2">
        <v>45653</v>
      </c>
      <c r="G366" s="1">
        <v>2024</v>
      </c>
      <c r="H366" s="1" t="s">
        <v>2</v>
      </c>
      <c r="I366" s="1" t="s">
        <v>127</v>
      </c>
      <c r="J366" s="1">
        <f t="shared" si="20"/>
        <v>0</v>
      </c>
      <c r="K366" s="7">
        <v>20000</v>
      </c>
      <c r="L366" s="7">
        <v>0</v>
      </c>
      <c r="M366" s="7">
        <f t="shared" si="19"/>
        <v>20000</v>
      </c>
      <c r="N366" s="9">
        <v>1</v>
      </c>
      <c r="O366" s="9">
        <v>2025</v>
      </c>
      <c r="P366" s="1">
        <v>1</v>
      </c>
      <c r="Q366" s="1" t="s">
        <v>22</v>
      </c>
      <c r="R366" s="1" t="s">
        <v>24</v>
      </c>
      <c r="S366" s="5" t="s">
        <v>23</v>
      </c>
      <c r="T366" s="1" t="s">
        <v>28</v>
      </c>
      <c r="U366" s="1" t="s">
        <v>31</v>
      </c>
    </row>
    <row r="367" spans="1:21" x14ac:dyDescent="0.25">
      <c r="A367" s="1" t="s">
        <v>47</v>
      </c>
      <c r="B367" s="1">
        <v>18</v>
      </c>
      <c r="C367" s="1" t="s">
        <v>406</v>
      </c>
      <c r="D367" s="1" t="s">
        <v>407</v>
      </c>
      <c r="E367" s="1" t="s">
        <v>26</v>
      </c>
      <c r="F367" s="2">
        <v>45653</v>
      </c>
      <c r="G367" s="1">
        <v>2024</v>
      </c>
      <c r="H367" s="1" t="s">
        <v>14</v>
      </c>
      <c r="I367" s="1" t="s">
        <v>127</v>
      </c>
      <c r="J367" s="1">
        <f t="shared" si="20"/>
        <v>0</v>
      </c>
      <c r="K367" s="7">
        <v>20000</v>
      </c>
      <c r="L367" s="7">
        <v>0</v>
      </c>
      <c r="M367" s="7">
        <f t="shared" si="19"/>
        <v>20000</v>
      </c>
      <c r="N367" s="9">
        <v>10</v>
      </c>
      <c r="O367" s="9">
        <v>2025</v>
      </c>
      <c r="P367" s="1">
        <v>1</v>
      </c>
      <c r="Q367" s="1" t="s">
        <v>22</v>
      </c>
      <c r="R367" s="1" t="s">
        <v>24</v>
      </c>
      <c r="S367" s="5" t="s">
        <v>23</v>
      </c>
      <c r="T367" s="1" t="s">
        <v>28</v>
      </c>
      <c r="U367" s="1" t="s">
        <v>31</v>
      </c>
    </row>
    <row r="368" spans="1:21" x14ac:dyDescent="0.25">
      <c r="A368" s="1" t="s">
        <v>48</v>
      </c>
      <c r="B368" s="1">
        <v>18</v>
      </c>
      <c r="C368" s="1" t="s">
        <v>406</v>
      </c>
      <c r="D368" s="1" t="s">
        <v>407</v>
      </c>
      <c r="E368" s="1" t="s">
        <v>26</v>
      </c>
      <c r="F368" s="2">
        <v>45653</v>
      </c>
      <c r="G368" s="1">
        <v>2024</v>
      </c>
      <c r="H368" s="1" t="s">
        <v>17</v>
      </c>
      <c r="I368" s="1" t="s">
        <v>127</v>
      </c>
      <c r="J368" s="1">
        <f t="shared" si="20"/>
        <v>0</v>
      </c>
      <c r="K368" s="7">
        <v>20000</v>
      </c>
      <c r="L368" s="7">
        <v>0</v>
      </c>
      <c r="M368" s="7">
        <f t="shared" si="19"/>
        <v>20000</v>
      </c>
      <c r="N368" s="9">
        <v>11</v>
      </c>
      <c r="O368" s="9">
        <v>2025</v>
      </c>
      <c r="P368" s="1">
        <v>1</v>
      </c>
      <c r="Q368" s="1" t="s">
        <v>22</v>
      </c>
      <c r="R368" s="1" t="s">
        <v>24</v>
      </c>
      <c r="S368" s="5" t="s">
        <v>23</v>
      </c>
      <c r="T368" s="1" t="s">
        <v>28</v>
      </c>
      <c r="U368" s="1" t="s">
        <v>31</v>
      </c>
    </row>
    <row r="369" spans="1:21" x14ac:dyDescent="0.25">
      <c r="A369" s="1" t="s">
        <v>49</v>
      </c>
      <c r="B369" s="1">
        <v>18</v>
      </c>
      <c r="C369" s="1" t="s">
        <v>406</v>
      </c>
      <c r="D369" s="1" t="s">
        <v>407</v>
      </c>
      <c r="E369" s="1" t="s">
        <v>26</v>
      </c>
      <c r="F369" s="2">
        <v>45653</v>
      </c>
      <c r="G369" s="1">
        <v>2024</v>
      </c>
      <c r="H369" s="37" t="s">
        <v>16</v>
      </c>
      <c r="I369" s="1" t="s">
        <v>127</v>
      </c>
      <c r="J369" s="1">
        <f t="shared" si="20"/>
        <v>0</v>
      </c>
      <c r="K369" s="7">
        <v>20000</v>
      </c>
      <c r="L369" s="7">
        <v>0</v>
      </c>
      <c r="M369" s="7">
        <f t="shared" si="19"/>
        <v>20000</v>
      </c>
      <c r="N369" s="9">
        <v>12</v>
      </c>
      <c r="O369" s="9">
        <v>2025</v>
      </c>
      <c r="P369" s="1">
        <v>1</v>
      </c>
      <c r="Q369" s="1" t="s">
        <v>22</v>
      </c>
      <c r="R369" s="1" t="s">
        <v>24</v>
      </c>
      <c r="S369" s="5" t="s">
        <v>23</v>
      </c>
      <c r="T369" s="1" t="s">
        <v>28</v>
      </c>
      <c r="U369" s="1" t="s">
        <v>31</v>
      </c>
    </row>
    <row r="370" spans="1:21" x14ac:dyDescent="0.25">
      <c r="A370" s="1" t="s">
        <v>32</v>
      </c>
      <c r="B370" s="1">
        <v>18</v>
      </c>
      <c r="C370" s="1" t="s">
        <v>406</v>
      </c>
      <c r="D370" s="1" t="s">
        <v>407</v>
      </c>
      <c r="E370" s="1" t="s">
        <v>26</v>
      </c>
      <c r="F370" s="2">
        <v>45653</v>
      </c>
      <c r="G370" s="1">
        <v>2024</v>
      </c>
      <c r="H370" s="1" t="s">
        <v>3</v>
      </c>
      <c r="I370" s="1" t="s">
        <v>127</v>
      </c>
      <c r="J370" s="1">
        <f t="shared" si="20"/>
        <v>0</v>
      </c>
      <c r="K370" s="7">
        <v>20000</v>
      </c>
      <c r="L370" s="7">
        <v>0</v>
      </c>
      <c r="M370" s="7">
        <f t="shared" si="19"/>
        <v>20000</v>
      </c>
      <c r="N370" s="9">
        <v>2</v>
      </c>
      <c r="O370" s="9">
        <v>2025</v>
      </c>
      <c r="P370" s="1">
        <v>1</v>
      </c>
      <c r="Q370" s="1" t="s">
        <v>22</v>
      </c>
      <c r="R370" s="1" t="s">
        <v>24</v>
      </c>
      <c r="S370" s="5" t="s">
        <v>23</v>
      </c>
      <c r="T370" s="1" t="s">
        <v>28</v>
      </c>
      <c r="U370" s="1" t="s">
        <v>31</v>
      </c>
    </row>
    <row r="371" spans="1:21" x14ac:dyDescent="0.25">
      <c r="A371" s="1" t="s">
        <v>37</v>
      </c>
      <c r="B371" s="1">
        <v>18</v>
      </c>
      <c r="C371" s="1" t="s">
        <v>406</v>
      </c>
      <c r="D371" s="1" t="s">
        <v>407</v>
      </c>
      <c r="E371" s="1" t="s">
        <v>26</v>
      </c>
      <c r="F371" s="2">
        <v>45653</v>
      </c>
      <c r="G371" s="1">
        <v>2024</v>
      </c>
      <c r="H371" s="1" t="s">
        <v>4</v>
      </c>
      <c r="I371" s="1" t="s">
        <v>127</v>
      </c>
      <c r="J371" s="1">
        <f t="shared" si="20"/>
        <v>0</v>
      </c>
      <c r="K371" s="7">
        <v>20000</v>
      </c>
      <c r="L371" s="7">
        <v>0</v>
      </c>
      <c r="M371" s="7">
        <f t="shared" si="19"/>
        <v>20000</v>
      </c>
      <c r="N371" s="9">
        <v>3</v>
      </c>
      <c r="O371" s="9">
        <v>2025</v>
      </c>
      <c r="P371" s="1">
        <v>1</v>
      </c>
      <c r="Q371" s="1" t="s">
        <v>22</v>
      </c>
      <c r="R371" s="1" t="s">
        <v>24</v>
      </c>
      <c r="S371" s="5" t="s">
        <v>23</v>
      </c>
      <c r="T371" s="1" t="s">
        <v>28</v>
      </c>
      <c r="U371" s="1" t="s">
        <v>31</v>
      </c>
    </row>
    <row r="372" spans="1:21" x14ac:dyDescent="0.25">
      <c r="A372" s="1" t="s">
        <v>38</v>
      </c>
      <c r="B372" s="1">
        <v>18</v>
      </c>
      <c r="C372" s="1" t="s">
        <v>406</v>
      </c>
      <c r="D372" s="1" t="s">
        <v>407</v>
      </c>
      <c r="E372" s="1" t="s">
        <v>26</v>
      </c>
      <c r="F372" s="2">
        <v>45653</v>
      </c>
      <c r="G372" s="1">
        <v>2024</v>
      </c>
      <c r="H372" s="1" t="s">
        <v>5</v>
      </c>
      <c r="I372" s="1" t="s">
        <v>127</v>
      </c>
      <c r="J372" s="1">
        <f t="shared" si="20"/>
        <v>0</v>
      </c>
      <c r="K372" s="7">
        <v>20000</v>
      </c>
      <c r="L372" s="7">
        <v>0</v>
      </c>
      <c r="M372" s="7">
        <f t="shared" si="19"/>
        <v>20000</v>
      </c>
      <c r="N372" s="9">
        <v>4</v>
      </c>
      <c r="O372" s="9">
        <v>2025</v>
      </c>
      <c r="P372" s="1">
        <v>1</v>
      </c>
      <c r="Q372" s="1" t="s">
        <v>22</v>
      </c>
      <c r="R372" s="1" t="s">
        <v>24</v>
      </c>
      <c r="S372" s="5" t="s">
        <v>23</v>
      </c>
      <c r="T372" s="1" t="s">
        <v>28</v>
      </c>
      <c r="U372" s="1" t="s">
        <v>31</v>
      </c>
    </row>
    <row r="373" spans="1:21" x14ac:dyDescent="0.25">
      <c r="A373" s="1" t="s">
        <v>42</v>
      </c>
      <c r="B373" s="1">
        <v>18</v>
      </c>
      <c r="C373" s="1" t="s">
        <v>406</v>
      </c>
      <c r="D373" s="1" t="s">
        <v>407</v>
      </c>
      <c r="E373" s="1" t="s">
        <v>26</v>
      </c>
      <c r="F373" s="2">
        <v>45653</v>
      </c>
      <c r="G373" s="1">
        <v>2024</v>
      </c>
      <c r="H373" s="1" t="s">
        <v>6</v>
      </c>
      <c r="I373" s="1" t="s">
        <v>127</v>
      </c>
      <c r="J373" s="1">
        <f t="shared" si="20"/>
        <v>0</v>
      </c>
      <c r="K373" s="7">
        <v>20000</v>
      </c>
      <c r="L373" s="7">
        <v>0</v>
      </c>
      <c r="M373" s="7">
        <f t="shared" si="19"/>
        <v>20000</v>
      </c>
      <c r="N373" s="9">
        <v>5</v>
      </c>
      <c r="O373" s="9">
        <v>2025</v>
      </c>
      <c r="P373" s="1">
        <v>1</v>
      </c>
      <c r="Q373" s="1" t="s">
        <v>22</v>
      </c>
      <c r="R373" s="1" t="s">
        <v>24</v>
      </c>
      <c r="S373" s="5" t="s">
        <v>23</v>
      </c>
      <c r="T373" s="1" t="s">
        <v>28</v>
      </c>
      <c r="U373" s="1" t="s">
        <v>31</v>
      </c>
    </row>
    <row r="374" spans="1:21" x14ac:dyDescent="0.25">
      <c r="A374" s="1" t="s">
        <v>43</v>
      </c>
      <c r="B374" s="1">
        <v>18</v>
      </c>
      <c r="C374" s="1" t="s">
        <v>406</v>
      </c>
      <c r="D374" s="1" t="s">
        <v>407</v>
      </c>
      <c r="E374" s="1" t="s">
        <v>26</v>
      </c>
      <c r="F374" s="2">
        <v>45653</v>
      </c>
      <c r="G374" s="1">
        <v>2024</v>
      </c>
      <c r="H374" s="1" t="s">
        <v>7</v>
      </c>
      <c r="I374" s="1" t="s">
        <v>127</v>
      </c>
      <c r="J374" s="1">
        <f t="shared" si="20"/>
        <v>0</v>
      </c>
      <c r="K374" s="7">
        <v>20000</v>
      </c>
      <c r="L374" s="7">
        <v>0</v>
      </c>
      <c r="M374" s="7">
        <f t="shared" si="19"/>
        <v>20000</v>
      </c>
      <c r="N374" s="9">
        <v>6</v>
      </c>
      <c r="O374" s="9">
        <v>2025</v>
      </c>
      <c r="P374" s="1">
        <v>1</v>
      </c>
      <c r="Q374" s="1" t="s">
        <v>22</v>
      </c>
      <c r="R374" s="1" t="s">
        <v>24</v>
      </c>
      <c r="S374" s="5" t="s">
        <v>23</v>
      </c>
      <c r="T374" s="1" t="s">
        <v>28</v>
      </c>
      <c r="U374" s="1" t="s">
        <v>31</v>
      </c>
    </row>
    <row r="375" spans="1:21" x14ac:dyDescent="0.25">
      <c r="A375" s="1" t="s">
        <v>44</v>
      </c>
      <c r="B375" s="1">
        <v>18</v>
      </c>
      <c r="C375" s="1" t="s">
        <v>406</v>
      </c>
      <c r="D375" s="1" t="s">
        <v>407</v>
      </c>
      <c r="E375" s="1" t="s">
        <v>26</v>
      </c>
      <c r="F375" s="2">
        <v>45653</v>
      </c>
      <c r="G375" s="1">
        <v>2024</v>
      </c>
      <c r="H375" s="1" t="s">
        <v>8</v>
      </c>
      <c r="I375" s="1" t="s">
        <v>127</v>
      </c>
      <c r="J375" s="1">
        <f t="shared" si="20"/>
        <v>0</v>
      </c>
      <c r="K375" s="7">
        <v>20000</v>
      </c>
      <c r="L375" s="7">
        <v>0</v>
      </c>
      <c r="M375" s="7">
        <f t="shared" si="19"/>
        <v>20000</v>
      </c>
      <c r="N375" s="9">
        <v>7</v>
      </c>
      <c r="O375" s="9">
        <v>2025</v>
      </c>
      <c r="P375" s="1">
        <v>1</v>
      </c>
      <c r="Q375" s="1" t="s">
        <v>22</v>
      </c>
      <c r="R375" s="1" t="s">
        <v>24</v>
      </c>
      <c r="S375" s="5" t="s">
        <v>23</v>
      </c>
      <c r="T375" s="1" t="s">
        <v>28</v>
      </c>
      <c r="U375" s="1" t="s">
        <v>31</v>
      </c>
    </row>
    <row r="376" spans="1:21" x14ac:dyDescent="0.25">
      <c r="A376" s="1" t="s">
        <v>45</v>
      </c>
      <c r="B376" s="1">
        <v>18</v>
      </c>
      <c r="C376" s="1" t="s">
        <v>406</v>
      </c>
      <c r="D376" s="1" t="s">
        <v>407</v>
      </c>
      <c r="E376" s="1" t="s">
        <v>26</v>
      </c>
      <c r="F376" s="2">
        <v>45653</v>
      </c>
      <c r="G376" s="1">
        <v>2024</v>
      </c>
      <c r="H376" s="1" t="s">
        <v>9</v>
      </c>
      <c r="I376" s="1" t="s">
        <v>127</v>
      </c>
      <c r="J376" s="1">
        <f t="shared" si="20"/>
        <v>0</v>
      </c>
      <c r="K376" s="7">
        <v>20000</v>
      </c>
      <c r="L376" s="7">
        <v>0</v>
      </c>
      <c r="M376" s="7">
        <f t="shared" si="19"/>
        <v>20000</v>
      </c>
      <c r="N376" s="9">
        <v>8</v>
      </c>
      <c r="O376" s="9">
        <v>2025</v>
      </c>
      <c r="P376" s="1">
        <v>1</v>
      </c>
      <c r="Q376" s="1" t="s">
        <v>22</v>
      </c>
      <c r="R376" s="1" t="s">
        <v>24</v>
      </c>
      <c r="S376" s="5" t="s">
        <v>23</v>
      </c>
      <c r="T376" s="1" t="s">
        <v>28</v>
      </c>
      <c r="U376" s="1" t="s">
        <v>31</v>
      </c>
    </row>
    <row r="377" spans="1:21" x14ac:dyDescent="0.25">
      <c r="A377" s="1" t="s">
        <v>46</v>
      </c>
      <c r="B377" s="1">
        <v>18</v>
      </c>
      <c r="C377" s="1" t="s">
        <v>406</v>
      </c>
      <c r="D377" s="1" t="s">
        <v>407</v>
      </c>
      <c r="E377" s="1" t="s">
        <v>26</v>
      </c>
      <c r="F377" s="2">
        <v>45653</v>
      </c>
      <c r="G377" s="1">
        <v>2024</v>
      </c>
      <c r="H377" s="1" t="s">
        <v>10</v>
      </c>
      <c r="I377" s="1" t="s">
        <v>127</v>
      </c>
      <c r="J377" s="1">
        <f t="shared" si="20"/>
        <v>0</v>
      </c>
      <c r="K377" s="7">
        <v>20000</v>
      </c>
      <c r="L377" s="7">
        <v>0</v>
      </c>
      <c r="M377" s="7">
        <f t="shared" si="19"/>
        <v>20000</v>
      </c>
      <c r="N377" s="9">
        <v>9</v>
      </c>
      <c r="O377" s="9">
        <v>2025</v>
      </c>
      <c r="P377" s="1">
        <v>1</v>
      </c>
      <c r="Q377" s="1" t="s">
        <v>22</v>
      </c>
      <c r="R377" s="1" t="s">
        <v>24</v>
      </c>
      <c r="S377" s="5" t="s">
        <v>23</v>
      </c>
      <c r="T377" s="1" t="s">
        <v>28</v>
      </c>
      <c r="U377" s="1" t="s">
        <v>31</v>
      </c>
    </row>
    <row r="378" spans="1:21" x14ac:dyDescent="0.25">
      <c r="A378" s="1" t="s">
        <v>57</v>
      </c>
      <c r="B378" s="1">
        <v>5</v>
      </c>
      <c r="C378" s="1" t="s">
        <v>387</v>
      </c>
      <c r="D378" s="1" t="s">
        <v>339</v>
      </c>
      <c r="E378" s="1" t="s">
        <v>26</v>
      </c>
      <c r="F378" s="2">
        <v>45653</v>
      </c>
      <c r="G378" s="1">
        <v>2024</v>
      </c>
      <c r="H378" s="1" t="s">
        <v>2</v>
      </c>
      <c r="I378" s="1" t="s">
        <v>127</v>
      </c>
      <c r="J378" s="1">
        <f t="shared" si="20"/>
        <v>0</v>
      </c>
      <c r="K378" s="7">
        <v>20000</v>
      </c>
      <c r="L378" s="7">
        <v>0</v>
      </c>
      <c r="M378" s="7">
        <f t="shared" si="19"/>
        <v>20000</v>
      </c>
      <c r="N378" s="9">
        <v>1</v>
      </c>
      <c r="O378" s="9">
        <v>2025</v>
      </c>
      <c r="P378" s="1">
        <v>1</v>
      </c>
      <c r="Q378" s="1" t="s">
        <v>69</v>
      </c>
      <c r="R378" s="1" t="s">
        <v>71</v>
      </c>
      <c r="S378" s="5" t="s">
        <v>70</v>
      </c>
      <c r="T378" s="1" t="s">
        <v>28</v>
      </c>
      <c r="U378" s="1" t="s">
        <v>31</v>
      </c>
    </row>
    <row r="379" spans="1:21" x14ac:dyDescent="0.25">
      <c r="A379" s="1" t="s">
        <v>58</v>
      </c>
      <c r="B379" s="1">
        <v>5</v>
      </c>
      <c r="C379" s="1" t="s">
        <v>387</v>
      </c>
      <c r="D379" s="1" t="s">
        <v>339</v>
      </c>
      <c r="E379" s="1" t="s">
        <v>26</v>
      </c>
      <c r="F379" s="2">
        <v>45653</v>
      </c>
      <c r="G379" s="1">
        <v>2024</v>
      </c>
      <c r="H379" s="1" t="s">
        <v>3</v>
      </c>
      <c r="I379" s="1" t="s">
        <v>127</v>
      </c>
      <c r="J379" s="1">
        <f t="shared" si="20"/>
        <v>0</v>
      </c>
      <c r="K379" s="7">
        <v>20000</v>
      </c>
      <c r="L379" s="7">
        <v>0</v>
      </c>
      <c r="M379" s="7">
        <f t="shared" si="19"/>
        <v>20000</v>
      </c>
      <c r="N379" s="9">
        <v>2</v>
      </c>
      <c r="O379" s="9">
        <v>2025</v>
      </c>
      <c r="P379" s="1">
        <v>1</v>
      </c>
      <c r="Q379" s="1" t="s">
        <v>69</v>
      </c>
      <c r="R379" s="1" t="s">
        <v>71</v>
      </c>
      <c r="S379" s="5" t="s">
        <v>70</v>
      </c>
      <c r="T379" s="1" t="s">
        <v>28</v>
      </c>
      <c r="U379" s="1" t="s">
        <v>31</v>
      </c>
    </row>
    <row r="380" spans="1:21" x14ac:dyDescent="0.25">
      <c r="A380" s="1" t="s">
        <v>59</v>
      </c>
      <c r="B380" s="1">
        <v>5</v>
      </c>
      <c r="C380" s="1" t="s">
        <v>387</v>
      </c>
      <c r="D380" s="1" t="s">
        <v>339</v>
      </c>
      <c r="E380" s="1" t="s">
        <v>26</v>
      </c>
      <c r="F380" s="2">
        <v>45653</v>
      </c>
      <c r="G380" s="1">
        <v>2024</v>
      </c>
      <c r="H380" s="1" t="s">
        <v>4</v>
      </c>
      <c r="I380" s="1" t="s">
        <v>127</v>
      </c>
      <c r="J380" s="1">
        <f t="shared" si="20"/>
        <v>0</v>
      </c>
      <c r="K380" s="7">
        <v>20000</v>
      </c>
      <c r="L380" s="7">
        <v>0</v>
      </c>
      <c r="M380" s="7">
        <f t="shared" si="19"/>
        <v>20000</v>
      </c>
      <c r="N380" s="9">
        <v>3</v>
      </c>
      <c r="O380" s="9">
        <v>2025</v>
      </c>
      <c r="P380" s="1">
        <v>1</v>
      </c>
      <c r="Q380" s="1" t="s">
        <v>69</v>
      </c>
      <c r="R380" s="1" t="s">
        <v>71</v>
      </c>
      <c r="S380" s="5" t="s">
        <v>70</v>
      </c>
      <c r="T380" s="1" t="s">
        <v>28</v>
      </c>
      <c r="U380" s="1" t="s">
        <v>31</v>
      </c>
    </row>
    <row r="381" spans="1:21" x14ac:dyDescent="0.25">
      <c r="A381" s="1" t="s">
        <v>60</v>
      </c>
      <c r="B381" s="1">
        <v>5</v>
      </c>
      <c r="C381" s="1" t="s">
        <v>387</v>
      </c>
      <c r="D381" s="1" t="s">
        <v>339</v>
      </c>
      <c r="E381" s="1" t="s">
        <v>26</v>
      </c>
      <c r="F381" s="2">
        <v>45653</v>
      </c>
      <c r="G381" s="1">
        <v>2024</v>
      </c>
      <c r="H381" s="1" t="s">
        <v>5</v>
      </c>
      <c r="I381" s="1" t="s">
        <v>127</v>
      </c>
      <c r="J381" s="1">
        <f t="shared" si="20"/>
        <v>0</v>
      </c>
      <c r="K381" s="7">
        <v>20000</v>
      </c>
      <c r="L381" s="7">
        <v>0</v>
      </c>
      <c r="M381" s="7">
        <f t="shared" si="19"/>
        <v>20000</v>
      </c>
      <c r="N381" s="9">
        <v>4</v>
      </c>
      <c r="O381" s="9">
        <v>2025</v>
      </c>
      <c r="P381" s="1">
        <v>1</v>
      </c>
      <c r="Q381" s="1" t="s">
        <v>69</v>
      </c>
      <c r="R381" s="1" t="s">
        <v>71</v>
      </c>
      <c r="S381" s="5" t="s">
        <v>70</v>
      </c>
      <c r="T381" s="1" t="s">
        <v>28</v>
      </c>
      <c r="U381" s="1" t="s">
        <v>31</v>
      </c>
    </row>
    <row r="382" spans="1:21" x14ac:dyDescent="0.25">
      <c r="A382" s="1" t="s">
        <v>61</v>
      </c>
      <c r="B382" s="1">
        <v>5</v>
      </c>
      <c r="C382" s="1" t="s">
        <v>387</v>
      </c>
      <c r="D382" s="1" t="s">
        <v>339</v>
      </c>
      <c r="E382" s="1" t="s">
        <v>26</v>
      </c>
      <c r="F382" s="2">
        <v>45653</v>
      </c>
      <c r="G382" s="1">
        <v>2024</v>
      </c>
      <c r="H382" s="1" t="s">
        <v>6</v>
      </c>
      <c r="I382" s="1" t="s">
        <v>127</v>
      </c>
      <c r="J382" s="1">
        <f t="shared" si="20"/>
        <v>0</v>
      </c>
      <c r="K382" s="7">
        <v>20000</v>
      </c>
      <c r="L382" s="7">
        <v>0</v>
      </c>
      <c r="M382" s="7">
        <f t="shared" si="19"/>
        <v>20000</v>
      </c>
      <c r="N382" s="9">
        <v>5</v>
      </c>
      <c r="O382" s="9">
        <v>2025</v>
      </c>
      <c r="P382" s="1">
        <v>1</v>
      </c>
      <c r="Q382" s="1" t="s">
        <v>69</v>
      </c>
      <c r="R382" s="1" t="s">
        <v>71</v>
      </c>
      <c r="S382" s="5" t="s">
        <v>70</v>
      </c>
      <c r="T382" s="1" t="s">
        <v>28</v>
      </c>
      <c r="U382" s="1" t="s">
        <v>31</v>
      </c>
    </row>
    <row r="383" spans="1:21" x14ac:dyDescent="0.25">
      <c r="A383" s="1" t="s">
        <v>62</v>
      </c>
      <c r="B383" s="1">
        <v>5</v>
      </c>
      <c r="C383" s="1" t="s">
        <v>387</v>
      </c>
      <c r="D383" s="1" t="s">
        <v>339</v>
      </c>
      <c r="E383" s="1" t="s">
        <v>26</v>
      </c>
      <c r="F383" s="2">
        <v>45653</v>
      </c>
      <c r="G383" s="1">
        <v>2024</v>
      </c>
      <c r="H383" s="1" t="s">
        <v>7</v>
      </c>
      <c r="I383" s="1" t="s">
        <v>127</v>
      </c>
      <c r="J383" s="1">
        <f t="shared" si="20"/>
        <v>0</v>
      </c>
      <c r="K383" s="7">
        <v>20000</v>
      </c>
      <c r="L383" s="7">
        <v>0</v>
      </c>
      <c r="M383" s="7">
        <f t="shared" si="19"/>
        <v>20000</v>
      </c>
      <c r="N383" s="9">
        <v>6</v>
      </c>
      <c r="O383" s="9">
        <v>2025</v>
      </c>
      <c r="P383" s="1">
        <v>1</v>
      </c>
      <c r="Q383" s="1" t="s">
        <v>69</v>
      </c>
      <c r="R383" s="1" t="s">
        <v>71</v>
      </c>
      <c r="S383" s="5" t="s">
        <v>70</v>
      </c>
      <c r="T383" s="1" t="s">
        <v>28</v>
      </c>
      <c r="U383" s="1" t="s">
        <v>31</v>
      </c>
    </row>
    <row r="384" spans="1:21" x14ac:dyDescent="0.25">
      <c r="A384" s="1" t="s">
        <v>63</v>
      </c>
      <c r="B384" s="1">
        <v>5</v>
      </c>
      <c r="C384" s="1" t="s">
        <v>387</v>
      </c>
      <c r="D384" s="1" t="s">
        <v>339</v>
      </c>
      <c r="E384" s="1" t="s">
        <v>26</v>
      </c>
      <c r="F384" s="2">
        <v>45653</v>
      </c>
      <c r="G384" s="1">
        <v>2024</v>
      </c>
      <c r="H384" s="1" t="s">
        <v>8</v>
      </c>
      <c r="I384" s="1" t="s">
        <v>127</v>
      </c>
      <c r="J384" s="1">
        <f t="shared" si="20"/>
        <v>0</v>
      </c>
      <c r="K384" s="7">
        <v>20000</v>
      </c>
      <c r="L384" s="7">
        <v>0</v>
      </c>
      <c r="M384" s="7">
        <f t="shared" si="19"/>
        <v>20000</v>
      </c>
      <c r="N384" s="9">
        <v>7</v>
      </c>
      <c r="O384" s="9">
        <v>2025</v>
      </c>
      <c r="P384" s="1">
        <v>1</v>
      </c>
      <c r="Q384" s="1" t="s">
        <v>69</v>
      </c>
      <c r="R384" s="1" t="s">
        <v>71</v>
      </c>
      <c r="S384" s="5" t="s">
        <v>70</v>
      </c>
      <c r="T384" s="1" t="s">
        <v>28</v>
      </c>
      <c r="U384" s="1" t="s">
        <v>31</v>
      </c>
    </row>
    <row r="385" spans="1:21" x14ac:dyDescent="0.25">
      <c r="A385" s="1" t="s">
        <v>64</v>
      </c>
      <c r="B385" s="1">
        <v>5</v>
      </c>
      <c r="C385" s="1" t="s">
        <v>387</v>
      </c>
      <c r="D385" s="1" t="s">
        <v>339</v>
      </c>
      <c r="E385" s="1" t="s">
        <v>26</v>
      </c>
      <c r="F385" s="2">
        <v>45653</v>
      </c>
      <c r="G385" s="1">
        <v>2024</v>
      </c>
      <c r="H385" s="1" t="s">
        <v>9</v>
      </c>
      <c r="I385" s="1" t="s">
        <v>127</v>
      </c>
      <c r="J385" s="1">
        <f t="shared" si="20"/>
        <v>0</v>
      </c>
      <c r="K385" s="7">
        <v>20000</v>
      </c>
      <c r="L385" s="7">
        <v>0</v>
      </c>
      <c r="M385" s="7">
        <f t="shared" si="19"/>
        <v>20000</v>
      </c>
      <c r="N385" s="9">
        <v>8</v>
      </c>
      <c r="O385" s="9">
        <v>2025</v>
      </c>
      <c r="P385" s="1">
        <v>1</v>
      </c>
      <c r="Q385" s="1" t="s">
        <v>69</v>
      </c>
      <c r="R385" s="1" t="s">
        <v>71</v>
      </c>
      <c r="S385" s="5" t="s">
        <v>70</v>
      </c>
      <c r="T385" s="1" t="s">
        <v>28</v>
      </c>
      <c r="U385" s="1" t="s">
        <v>31</v>
      </c>
    </row>
    <row r="386" spans="1:21" x14ac:dyDescent="0.25">
      <c r="A386" s="1" t="s">
        <v>65</v>
      </c>
      <c r="B386" s="1">
        <v>5</v>
      </c>
      <c r="C386" s="1" t="s">
        <v>387</v>
      </c>
      <c r="D386" s="1" t="s">
        <v>339</v>
      </c>
      <c r="E386" s="1" t="s">
        <v>26</v>
      </c>
      <c r="F386" s="2">
        <v>45653</v>
      </c>
      <c r="G386" s="1">
        <v>2024</v>
      </c>
      <c r="H386" s="1" t="s">
        <v>10</v>
      </c>
      <c r="I386" s="1" t="s">
        <v>127</v>
      </c>
      <c r="J386" s="1">
        <f t="shared" si="20"/>
        <v>0</v>
      </c>
      <c r="K386" s="7">
        <v>20000</v>
      </c>
      <c r="L386" s="7">
        <v>0</v>
      </c>
      <c r="M386" s="7">
        <f t="shared" si="19"/>
        <v>20000</v>
      </c>
      <c r="N386" s="9">
        <v>9</v>
      </c>
      <c r="O386" s="9">
        <v>2025</v>
      </c>
      <c r="P386" s="1">
        <v>1</v>
      </c>
      <c r="Q386" s="1" t="s">
        <v>69</v>
      </c>
      <c r="R386" s="1" t="s">
        <v>71</v>
      </c>
      <c r="S386" s="5" t="s">
        <v>70</v>
      </c>
      <c r="T386" s="1" t="s">
        <v>28</v>
      </c>
      <c r="U386" s="1" t="s">
        <v>31</v>
      </c>
    </row>
    <row r="387" spans="1:21" x14ac:dyDescent="0.25">
      <c r="A387" s="1" t="s">
        <v>66</v>
      </c>
      <c r="B387" s="1">
        <v>5</v>
      </c>
      <c r="C387" s="1" t="s">
        <v>387</v>
      </c>
      <c r="D387" s="1" t="s">
        <v>339</v>
      </c>
      <c r="E387" s="1" t="s">
        <v>26</v>
      </c>
      <c r="F387" s="2">
        <v>45653</v>
      </c>
      <c r="G387" s="1">
        <v>2024</v>
      </c>
      <c r="H387" s="1" t="s">
        <v>14</v>
      </c>
      <c r="I387" s="1" t="s">
        <v>127</v>
      </c>
      <c r="J387" s="1">
        <f t="shared" si="20"/>
        <v>0</v>
      </c>
      <c r="K387" s="7">
        <v>20000</v>
      </c>
      <c r="L387" s="7">
        <v>0</v>
      </c>
      <c r="M387" s="7">
        <f t="shared" si="19"/>
        <v>20000</v>
      </c>
      <c r="N387" s="9">
        <v>10</v>
      </c>
      <c r="O387" s="9">
        <v>2025</v>
      </c>
      <c r="P387" s="1">
        <v>1</v>
      </c>
      <c r="Q387" s="1" t="s">
        <v>69</v>
      </c>
      <c r="R387" s="1" t="s">
        <v>71</v>
      </c>
      <c r="S387" s="5" t="s">
        <v>70</v>
      </c>
      <c r="T387" s="1" t="s">
        <v>28</v>
      </c>
      <c r="U387" s="1" t="s">
        <v>31</v>
      </c>
    </row>
    <row r="388" spans="1:21" x14ac:dyDescent="0.25">
      <c r="A388" s="1" t="s">
        <v>67</v>
      </c>
      <c r="B388" s="1">
        <v>5</v>
      </c>
      <c r="C388" s="1" t="s">
        <v>387</v>
      </c>
      <c r="D388" s="1" t="s">
        <v>339</v>
      </c>
      <c r="E388" s="1" t="s">
        <v>26</v>
      </c>
      <c r="F388" s="2">
        <v>45653</v>
      </c>
      <c r="G388" s="1">
        <v>2024</v>
      </c>
      <c r="H388" s="1" t="s">
        <v>17</v>
      </c>
      <c r="I388" s="1" t="s">
        <v>127</v>
      </c>
      <c r="J388" s="1">
        <f t="shared" si="20"/>
        <v>0</v>
      </c>
      <c r="K388" s="7">
        <v>20000</v>
      </c>
      <c r="L388" s="7">
        <v>0</v>
      </c>
      <c r="M388" s="7">
        <f t="shared" si="19"/>
        <v>20000</v>
      </c>
      <c r="N388" s="9">
        <v>11</v>
      </c>
      <c r="O388" s="9">
        <v>2025</v>
      </c>
      <c r="P388" s="1">
        <v>1</v>
      </c>
      <c r="Q388" s="1" t="s">
        <v>69</v>
      </c>
      <c r="R388" s="1" t="s">
        <v>71</v>
      </c>
      <c r="S388" s="5" t="s">
        <v>70</v>
      </c>
      <c r="T388" s="1" t="s">
        <v>28</v>
      </c>
      <c r="U388" s="1" t="s">
        <v>31</v>
      </c>
    </row>
    <row r="389" spans="1:21" x14ac:dyDescent="0.25">
      <c r="A389" s="1" t="s">
        <v>68</v>
      </c>
      <c r="B389" s="1">
        <v>5</v>
      </c>
      <c r="C389" s="1" t="s">
        <v>387</v>
      </c>
      <c r="D389" s="1" t="s">
        <v>339</v>
      </c>
      <c r="E389" s="1" t="s">
        <v>26</v>
      </c>
      <c r="F389" s="2">
        <v>45653</v>
      </c>
      <c r="G389" s="1">
        <v>2024</v>
      </c>
      <c r="H389" s="1" t="s">
        <v>16</v>
      </c>
      <c r="I389" s="1" t="s">
        <v>127</v>
      </c>
      <c r="J389" s="1">
        <f t="shared" si="20"/>
        <v>0</v>
      </c>
      <c r="K389" s="7">
        <v>20000</v>
      </c>
      <c r="L389" s="7">
        <v>0</v>
      </c>
      <c r="M389" s="7">
        <f t="shared" si="19"/>
        <v>20000</v>
      </c>
      <c r="N389" s="9">
        <v>12</v>
      </c>
      <c r="O389" s="9">
        <v>2025</v>
      </c>
      <c r="P389" s="1">
        <v>1</v>
      </c>
      <c r="Q389" s="1" t="s">
        <v>69</v>
      </c>
      <c r="R389" s="1" t="s">
        <v>71</v>
      </c>
      <c r="S389" s="5" t="s">
        <v>70</v>
      </c>
      <c r="T389" s="1" t="s">
        <v>28</v>
      </c>
      <c r="U389" s="1" t="s">
        <v>31</v>
      </c>
    </row>
    <row r="390" spans="1:21" x14ac:dyDescent="0.25">
      <c r="A390" s="1" t="s">
        <v>151</v>
      </c>
      <c r="B390" s="1">
        <v>12</v>
      </c>
      <c r="C390" s="1" t="s">
        <v>521</v>
      </c>
      <c r="D390" s="1" t="s">
        <v>522</v>
      </c>
      <c r="E390" s="1" t="s">
        <v>26</v>
      </c>
      <c r="F390" s="2">
        <v>45343</v>
      </c>
      <c r="G390" s="1">
        <v>2025</v>
      </c>
      <c r="H390" s="1" t="s">
        <v>3</v>
      </c>
      <c r="I390" s="1" t="s">
        <v>134</v>
      </c>
      <c r="J390" s="1">
        <f t="shared" si="20"/>
        <v>0</v>
      </c>
      <c r="K390" s="7">
        <v>100000</v>
      </c>
      <c r="L390" s="7">
        <f>1000*J390</f>
        <v>0</v>
      </c>
      <c r="M390" s="7">
        <f t="shared" si="19"/>
        <v>100000</v>
      </c>
      <c r="N390" s="9">
        <v>2</v>
      </c>
      <c r="O390" s="9">
        <v>2025</v>
      </c>
      <c r="P390" s="1">
        <v>1</v>
      </c>
      <c r="Q390" s="1" t="s">
        <v>33</v>
      </c>
      <c r="R390" s="1" t="s">
        <v>152</v>
      </c>
      <c r="S390" s="1">
        <v>6438</v>
      </c>
      <c r="T390" s="1" t="s">
        <v>36</v>
      </c>
      <c r="U390" s="1" t="s">
        <v>342</v>
      </c>
    </row>
    <row r="391" spans="1:21" x14ac:dyDescent="0.25">
      <c r="A391" s="1" t="s">
        <v>150</v>
      </c>
      <c r="B391" s="1">
        <v>20</v>
      </c>
      <c r="C391" s="1" t="s">
        <v>520</v>
      </c>
      <c r="D391" s="1" t="s">
        <v>410</v>
      </c>
      <c r="E391" s="1" t="s">
        <v>26</v>
      </c>
      <c r="F391" s="2">
        <v>45343</v>
      </c>
      <c r="G391" s="1">
        <v>2025</v>
      </c>
      <c r="H391" s="1" t="s">
        <v>3</v>
      </c>
      <c r="I391" s="1" t="s">
        <v>134</v>
      </c>
      <c r="J391" s="1">
        <f t="shared" si="20"/>
        <v>0</v>
      </c>
      <c r="K391" s="7">
        <v>100000</v>
      </c>
      <c r="L391" s="7">
        <f>1000*J391</f>
        <v>0</v>
      </c>
      <c r="M391" s="7">
        <f t="shared" si="19"/>
        <v>100000</v>
      </c>
      <c r="N391" s="9">
        <v>2</v>
      </c>
      <c r="O391" s="9">
        <v>2025</v>
      </c>
      <c r="P391" s="1">
        <v>1</v>
      </c>
      <c r="Q391" s="1" t="s">
        <v>33</v>
      </c>
      <c r="R391" s="1" t="s">
        <v>152</v>
      </c>
      <c r="S391" s="1">
        <v>6438</v>
      </c>
      <c r="T391" s="1" t="s">
        <v>36</v>
      </c>
      <c r="U391" s="1" t="s">
        <v>342</v>
      </c>
    </row>
  </sheetData>
  <phoneticPr fontId="6" type="noConversion"/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D304-771B-45CE-96AE-BF87E3FEEEC3}">
  <dimension ref="A1:F23"/>
  <sheetViews>
    <sheetView zoomScale="115" zoomScaleNormal="115" workbookViewId="0">
      <selection activeCell="C13" sqref="C13"/>
    </sheetView>
  </sheetViews>
  <sheetFormatPr baseColWidth="10" defaultRowHeight="15" x14ac:dyDescent="0.25"/>
  <cols>
    <col min="2" max="2" width="27.85546875" bestFit="1" customWidth="1"/>
    <col min="3" max="3" width="14.5703125" bestFit="1" customWidth="1"/>
    <col min="4" max="4" width="18.7109375" style="46" bestFit="1" customWidth="1"/>
    <col min="5" max="5" width="23" style="47" bestFit="1" customWidth="1"/>
    <col min="6" max="6" width="23" bestFit="1" customWidth="1"/>
  </cols>
  <sheetData>
    <row r="1" spans="1:6" x14ac:dyDescent="0.25">
      <c r="A1" s="52" t="s">
        <v>1</v>
      </c>
      <c r="B1" s="52" t="s">
        <v>428</v>
      </c>
      <c r="C1" s="52" t="s">
        <v>130</v>
      </c>
      <c r="D1" s="52" t="s">
        <v>258</v>
      </c>
      <c r="E1" s="53" t="s">
        <v>257</v>
      </c>
      <c r="F1" s="53" t="s">
        <v>449</v>
      </c>
    </row>
    <row r="2" spans="1:6" x14ac:dyDescent="0.25">
      <c r="A2" s="49">
        <v>1</v>
      </c>
      <c r="B2" s="52" t="s">
        <v>429</v>
      </c>
      <c r="C2" s="54">
        <v>2100000</v>
      </c>
      <c r="D2" s="48">
        <v>0.10902497377405482</v>
      </c>
      <c r="E2" s="56">
        <v>266898.80509752245</v>
      </c>
      <c r="F2" s="50">
        <f>C2+E2</f>
        <v>2366898.8050975222</v>
      </c>
    </row>
    <row r="3" spans="1:6" x14ac:dyDescent="0.25">
      <c r="A3" s="49">
        <v>2</v>
      </c>
      <c r="B3" s="52" t="s">
        <v>430</v>
      </c>
      <c r="C3" s="54">
        <v>550000</v>
      </c>
      <c r="D3" s="48">
        <v>2.7256243443513704E-2</v>
      </c>
      <c r="E3" s="56">
        <v>66724.701274380612</v>
      </c>
      <c r="F3" s="50">
        <f t="shared" ref="F3:F21" si="0">C3+E3</f>
        <v>616724.70127438055</v>
      </c>
    </row>
    <row r="4" spans="1:6" x14ac:dyDescent="0.25">
      <c r="A4" s="49">
        <v>3</v>
      </c>
      <c r="B4" s="52" t="s">
        <v>431</v>
      </c>
      <c r="C4" s="54">
        <v>2447511</v>
      </c>
      <c r="D4" s="48">
        <v>0.13123941181787424</v>
      </c>
      <c r="E4" s="56">
        <v>321280.90457957069</v>
      </c>
      <c r="F4" s="50">
        <f t="shared" si="0"/>
        <v>2768791.9045795705</v>
      </c>
    </row>
    <row r="5" spans="1:6" x14ac:dyDescent="0.25">
      <c r="A5" s="49">
        <v>4</v>
      </c>
      <c r="B5" s="52" t="s">
        <v>432</v>
      </c>
      <c r="C5" s="54">
        <v>1099000</v>
      </c>
      <c r="D5" s="48">
        <v>5.4457974400140385E-2</v>
      </c>
      <c r="E5" s="56">
        <v>133315.95314621247</v>
      </c>
      <c r="F5" s="50">
        <f t="shared" si="0"/>
        <v>1232315.9531462125</v>
      </c>
    </row>
    <row r="6" spans="1:6" x14ac:dyDescent="0.25">
      <c r="A6" s="49">
        <v>5</v>
      </c>
      <c r="B6" s="52" t="s">
        <v>433</v>
      </c>
      <c r="C6" s="54">
        <v>1258964.8732499999</v>
      </c>
      <c r="D6" s="48">
        <v>3.9192563225273945E-2</v>
      </c>
      <c r="E6" s="56">
        <v>95945.432788758335</v>
      </c>
      <c r="F6" s="50">
        <f t="shared" si="0"/>
        <v>1354910.3060387583</v>
      </c>
    </row>
    <row r="7" spans="1:6" x14ac:dyDescent="0.25">
      <c r="A7" s="49">
        <v>6</v>
      </c>
      <c r="B7" s="52" t="s">
        <v>434</v>
      </c>
      <c r="C7" s="54">
        <v>220000</v>
      </c>
      <c r="D7" s="48">
        <v>1.0902497377405482E-2</v>
      </c>
      <c r="E7" s="56">
        <v>26689.880509752245</v>
      </c>
      <c r="F7" s="50">
        <f t="shared" si="0"/>
        <v>246689.88050975226</v>
      </c>
    </row>
    <row r="8" spans="1:6" x14ac:dyDescent="0.25">
      <c r="A8" s="49">
        <v>7</v>
      </c>
      <c r="B8" s="52" t="s">
        <v>435</v>
      </c>
      <c r="C8" s="54">
        <v>550000</v>
      </c>
      <c r="D8" s="48">
        <v>2.7256243443513704E-2</v>
      </c>
      <c r="E8" s="56">
        <v>66724.701274380612</v>
      </c>
      <c r="F8" s="50">
        <f t="shared" si="0"/>
        <v>616724.70127438055</v>
      </c>
    </row>
    <row r="9" spans="1:6" x14ac:dyDescent="0.25">
      <c r="A9" s="49">
        <v>8</v>
      </c>
      <c r="B9" s="52" t="s">
        <v>436</v>
      </c>
      <c r="C9" s="54">
        <v>2200000</v>
      </c>
      <c r="D9" s="48">
        <v>0.10902497377405482</v>
      </c>
      <c r="E9" s="56">
        <v>266898.80509752245</v>
      </c>
      <c r="F9" s="50">
        <f t="shared" si="0"/>
        <v>2466898.8050975222</v>
      </c>
    </row>
    <row r="10" spans="1:6" x14ac:dyDescent="0.25">
      <c r="A10" s="49">
        <v>9</v>
      </c>
      <c r="B10" s="52" t="s">
        <v>437</v>
      </c>
      <c r="C10" s="54">
        <v>1100000</v>
      </c>
      <c r="D10" s="48">
        <v>5.4512486887027409E-2</v>
      </c>
      <c r="E10" s="56">
        <v>133449.40254876122</v>
      </c>
      <c r="F10" s="50">
        <f t="shared" si="0"/>
        <v>1233449.4025487611</v>
      </c>
    </row>
    <row r="11" spans="1:6" x14ac:dyDescent="0.25">
      <c r="A11" s="49">
        <v>10</v>
      </c>
      <c r="B11" s="52" t="s">
        <v>438</v>
      </c>
      <c r="C11" s="54">
        <v>551444.95775000006</v>
      </c>
      <c r="D11" s="48">
        <v>2.7335011683912891E-2</v>
      </c>
      <c r="E11" s="56">
        <v>66917.530022826322</v>
      </c>
      <c r="F11" s="50">
        <f t="shared" si="0"/>
        <v>618362.48777282634</v>
      </c>
    </row>
    <row r="12" spans="1:6" x14ac:dyDescent="0.25">
      <c r="A12" s="49">
        <v>11</v>
      </c>
      <c r="B12" s="52" t="s">
        <v>439</v>
      </c>
      <c r="C12" s="54">
        <v>192000</v>
      </c>
      <c r="D12" s="48">
        <v>9.3761477445687153E-3</v>
      </c>
      <c r="E12" s="56">
        <v>22953.297238386931</v>
      </c>
      <c r="F12" s="50">
        <f t="shared" si="0"/>
        <v>214953.29723838693</v>
      </c>
    </row>
    <row r="13" spans="1:6" x14ac:dyDescent="0.25">
      <c r="A13" s="49">
        <v>12</v>
      </c>
      <c r="B13" s="52" t="s">
        <v>440</v>
      </c>
      <c r="C13" s="54">
        <v>561000</v>
      </c>
      <c r="D13" s="48">
        <v>2.8401005668141282E-2</v>
      </c>
      <c r="E13" s="56">
        <v>69527.138727904603</v>
      </c>
      <c r="F13" s="50">
        <f t="shared" si="0"/>
        <v>630527.13872790465</v>
      </c>
    </row>
    <row r="14" spans="1:6" x14ac:dyDescent="0.25">
      <c r="A14" s="49">
        <v>13</v>
      </c>
      <c r="B14" s="52" t="s">
        <v>441</v>
      </c>
      <c r="C14" s="54">
        <v>550000</v>
      </c>
      <c r="D14" s="48">
        <v>2.7256243443513704E-2</v>
      </c>
      <c r="E14" s="56">
        <v>66724.701274380612</v>
      </c>
      <c r="F14" s="50">
        <f t="shared" si="0"/>
        <v>616724.70127438055</v>
      </c>
    </row>
    <row r="15" spans="1:6" x14ac:dyDescent="0.25">
      <c r="A15" s="49">
        <v>14</v>
      </c>
      <c r="B15" s="52" t="s">
        <v>442</v>
      </c>
      <c r="C15" s="54">
        <v>245000</v>
      </c>
      <c r="D15" s="48">
        <v>1.117505981184062E-2</v>
      </c>
      <c r="E15" s="56">
        <v>27357.127522496055</v>
      </c>
      <c r="F15" s="50">
        <f t="shared" si="0"/>
        <v>272357.12752249604</v>
      </c>
    </row>
    <row r="16" spans="1:6" x14ac:dyDescent="0.25">
      <c r="A16" s="49">
        <v>15</v>
      </c>
      <c r="B16" s="52" t="s">
        <v>443</v>
      </c>
      <c r="C16" s="54">
        <v>832000</v>
      </c>
      <c r="D16" s="48">
        <v>2.0387670095748253E-2</v>
      </c>
      <c r="E16" s="56">
        <v>49910.0765532367</v>
      </c>
      <c r="F16" s="50">
        <f t="shared" si="0"/>
        <v>881910.07655323669</v>
      </c>
    </row>
    <row r="17" spans="1:6" x14ac:dyDescent="0.25">
      <c r="A17" s="49">
        <v>16</v>
      </c>
      <c r="B17" s="52" t="s">
        <v>444</v>
      </c>
      <c r="C17" s="54">
        <v>650000</v>
      </c>
      <c r="D17" s="48">
        <v>2.9981867787865078E-2</v>
      </c>
      <c r="E17" s="56">
        <v>73397.171401818676</v>
      </c>
      <c r="F17" s="50">
        <f t="shared" si="0"/>
        <v>723397.17140181863</v>
      </c>
    </row>
    <row r="18" spans="1:6" x14ac:dyDescent="0.25">
      <c r="A18" s="49">
        <v>17</v>
      </c>
      <c r="B18" s="52" t="s">
        <v>445</v>
      </c>
      <c r="C18" s="54">
        <v>250000</v>
      </c>
      <c r="D18" s="48">
        <v>1.1447622246275756E-2</v>
      </c>
      <c r="E18" s="56">
        <v>28024.374535239858</v>
      </c>
      <c r="F18" s="50">
        <f t="shared" si="0"/>
        <v>278024.37453523988</v>
      </c>
    </row>
    <row r="19" spans="1:6" x14ac:dyDescent="0.25">
      <c r="A19" s="49">
        <v>18</v>
      </c>
      <c r="B19" s="52" t="s">
        <v>446</v>
      </c>
      <c r="C19" s="54">
        <v>3245726.5625</v>
      </c>
      <c r="D19" s="48">
        <v>0.11992747115146031</v>
      </c>
      <c r="E19" s="56">
        <v>293588.6856072747</v>
      </c>
      <c r="F19" s="50">
        <f t="shared" si="0"/>
        <v>3539315.2481072745</v>
      </c>
    </row>
    <row r="20" spans="1:6" x14ac:dyDescent="0.25">
      <c r="A20" s="49">
        <v>19</v>
      </c>
      <c r="B20" s="52" t="s">
        <v>447</v>
      </c>
      <c r="C20" s="54">
        <v>5294500</v>
      </c>
      <c r="D20" s="48">
        <v>0.12344352655567357</v>
      </c>
      <c r="E20" s="56">
        <v>302196.17207166983</v>
      </c>
      <c r="F20" s="50">
        <f t="shared" si="0"/>
        <v>5596696.1720716702</v>
      </c>
    </row>
    <row r="21" spans="1:6" x14ac:dyDescent="0.25">
      <c r="A21" s="49">
        <v>20</v>
      </c>
      <c r="B21" s="52" t="s">
        <v>448</v>
      </c>
      <c r="C21" s="54">
        <v>561000</v>
      </c>
      <c r="D21" s="48">
        <v>2.8401005668141282E-2</v>
      </c>
      <c r="E21" s="56">
        <v>69527.138727904603</v>
      </c>
      <c r="F21" s="50">
        <f t="shared" si="0"/>
        <v>630527.13872790465</v>
      </c>
    </row>
    <row r="22" spans="1:6" x14ac:dyDescent="0.25">
      <c r="C22" s="51">
        <f>SUM(C2:C21)</f>
        <v>24458147.3935</v>
      </c>
      <c r="D22" s="55">
        <f>SUM(D2:D21)</f>
        <v>0.99999999999999989</v>
      </c>
      <c r="E22" s="51">
        <f>SUM(E2:E21)</f>
        <v>2448052</v>
      </c>
      <c r="F22" s="51">
        <f>SUM(F2:F21)</f>
        <v>26906199.393499997</v>
      </c>
    </row>
    <row r="23" spans="1:6" x14ac:dyDescent="0.25">
      <c r="C23" s="12">
        <f>F20-780000</f>
        <v>4816696.1720716702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F68D-C24D-4EA9-97E8-CC3F628AB7E0}">
  <dimension ref="A1:O176"/>
  <sheetViews>
    <sheetView topLeftCell="A28" workbookViewId="0">
      <selection activeCell="B31" sqref="B31"/>
    </sheetView>
  </sheetViews>
  <sheetFormatPr baseColWidth="10" defaultColWidth="14.85546875" defaultRowHeight="15" x14ac:dyDescent="0.25"/>
  <cols>
    <col min="2" max="2" width="27.140625" bestFit="1" customWidth="1"/>
    <col min="3" max="3" width="28.42578125" style="12" bestFit="1" customWidth="1"/>
    <col min="4" max="12" width="13.5703125" bestFit="1" customWidth="1"/>
    <col min="13" max="13" width="15.7109375" bestFit="1" customWidth="1"/>
    <col min="14" max="14" width="13.5703125" bestFit="1" customWidth="1"/>
    <col min="15" max="15" width="14.85546875" bestFit="1" customWidth="1"/>
  </cols>
  <sheetData>
    <row r="1" spans="1:13" ht="18.75" x14ac:dyDescent="0.3">
      <c r="A1" s="16"/>
      <c r="B1" s="20" t="s">
        <v>101</v>
      </c>
      <c r="C1" s="22" t="s">
        <v>556</v>
      </c>
      <c r="D1" s="16"/>
      <c r="E1" s="18" t="s">
        <v>270</v>
      </c>
      <c r="F1" s="16"/>
      <c r="G1" s="16"/>
      <c r="H1" s="16"/>
      <c r="I1" s="16"/>
      <c r="J1" s="16"/>
      <c r="K1" s="16"/>
    </row>
    <row r="2" spans="1:13" ht="18.75" x14ac:dyDescent="0.3">
      <c r="A2" s="16"/>
      <c r="B2" s="16"/>
      <c r="C2" s="17" t="s">
        <v>450</v>
      </c>
      <c r="D2" s="16"/>
      <c r="E2" s="30">
        <v>2448052</v>
      </c>
      <c r="F2" s="16"/>
      <c r="G2" s="19">
        <f>GETPIVOTDATA("Valor Ahorrado",$B$3)</f>
        <v>14992913.393500002</v>
      </c>
      <c r="H2" s="16"/>
      <c r="I2" s="16"/>
      <c r="J2" s="16"/>
      <c r="K2" s="16"/>
    </row>
    <row r="3" spans="1:13" ht="18.75" x14ac:dyDescent="0.3">
      <c r="A3" s="16"/>
      <c r="B3" s="20" t="s">
        <v>254</v>
      </c>
      <c r="C3" s="21" t="s">
        <v>256</v>
      </c>
      <c r="D3" s="16"/>
      <c r="E3" s="16"/>
      <c r="F3" s="16"/>
      <c r="G3" s="18" t="s">
        <v>258</v>
      </c>
      <c r="H3" s="22"/>
      <c r="I3" s="18" t="s">
        <v>257</v>
      </c>
      <c r="J3" s="18" t="s">
        <v>267</v>
      </c>
      <c r="K3" s="18" t="s">
        <v>271</v>
      </c>
    </row>
    <row r="4" spans="1:13" ht="18.75" x14ac:dyDescent="0.3">
      <c r="A4" s="16"/>
      <c r="B4" s="22">
        <v>1</v>
      </c>
      <c r="C4" s="21">
        <v>2566898.8050975222</v>
      </c>
      <c r="D4" s="16"/>
      <c r="E4" s="23"/>
      <c r="F4" s="45"/>
      <c r="G4" s="24">
        <f>GETPIVOTDATA("Valor Ahorrado",$B$3,"Customer_id",1)/G$2</f>
        <v>0.17120747233892317</v>
      </c>
      <c r="H4" s="22"/>
      <c r="I4" s="21">
        <f>G4*$E$2</f>
        <v>419124.79507424554</v>
      </c>
      <c r="J4" s="25">
        <f>GETPIVOTDATA("Valor Ahorrado",$B$3,"Customer_id",1)+I4</f>
        <v>2986023.6001717676</v>
      </c>
      <c r="K4" s="26">
        <f>I4/GETPIVOTDATA("Valor Ahorrado",$B$3,"Customer_id",1)</f>
        <v>0.1632806070274056</v>
      </c>
      <c r="L4" s="13"/>
      <c r="M4" s="14"/>
    </row>
    <row r="5" spans="1:13" ht="18.75" x14ac:dyDescent="0.3">
      <c r="A5" s="16"/>
      <c r="B5" s="22">
        <v>2</v>
      </c>
      <c r="C5" s="21">
        <v>766724.70127438055</v>
      </c>
      <c r="D5" s="16"/>
      <c r="E5" s="23"/>
      <c r="F5" s="17"/>
      <c r="G5" s="24">
        <f>GETPIVOTDATA("Valor Ahorrado",$B$3,"Customer_id",2)/G$2</f>
        <v>5.1139140282554077E-2</v>
      </c>
      <c r="H5" s="22"/>
      <c r="I5" s="21">
        <f t="shared" ref="I5:I23" si="0">G5*$E$2</f>
        <v>125191.27464698708</v>
      </c>
      <c r="J5" s="25">
        <f>GETPIVOTDATA("Valor Ahorrado",$B$3,"Customer_id",2)+I5</f>
        <v>891915.97592136764</v>
      </c>
      <c r="K5" s="26">
        <f t="shared" ref="K5:K23" si="1">I5/GETPIVOTDATA("Valor Ahorrado",$B$3,"Customer_id",1)</f>
        <v>4.8771410231822826E-2</v>
      </c>
      <c r="M5" s="14"/>
    </row>
    <row r="6" spans="1:13" ht="18.75" x14ac:dyDescent="0.3">
      <c r="A6" s="16"/>
      <c r="B6" s="22">
        <v>3</v>
      </c>
      <c r="C6" s="21">
        <v>1199999.9045795707</v>
      </c>
      <c r="D6" s="16"/>
      <c r="E6" s="23"/>
      <c r="F6" s="16"/>
      <c r="G6" s="24">
        <f>GETPIVOTDATA("Valor Ahorrado",$B$3,"Customer_id",3)/G$2</f>
        <v>8.0037806734734845E-2</v>
      </c>
      <c r="H6" s="22"/>
      <c r="I6" s="21">
        <f t="shared" si="0"/>
        <v>195936.71285258111</v>
      </c>
      <c r="J6" s="25">
        <f>GETPIVOTDATA("Valor Ahorrado",$B$3,"Customer_id",3)+I6</f>
        <v>1395936.6174321519</v>
      </c>
      <c r="K6" s="26">
        <f t="shared" si="1"/>
        <v>7.6332075290025711E-2</v>
      </c>
      <c r="M6" s="14"/>
    </row>
    <row r="7" spans="1:13" ht="18.75" x14ac:dyDescent="0.3">
      <c r="A7" s="16"/>
      <c r="B7" s="22">
        <v>4</v>
      </c>
      <c r="C7" s="21">
        <v>1332315.9531462125</v>
      </c>
      <c r="D7" s="16"/>
      <c r="E7" s="23"/>
      <c r="F7" s="16"/>
      <c r="G7" s="24">
        <f>GETPIVOTDATA("Valor Ahorrado",$B$3,"Customer_id",4)/G$2</f>
        <v>8.8863046039058841E-2</v>
      </c>
      <c r="H7" s="22"/>
      <c r="I7" s="21">
        <f t="shared" si="0"/>
        <v>217541.35758201007</v>
      </c>
      <c r="J7" s="25">
        <f>GETPIVOTDATA("Valor Ahorrado",$B$3,"Customer_id",4)+I7</f>
        <v>1549857.3107282226</v>
      </c>
      <c r="K7" s="26">
        <f t="shared" si="1"/>
        <v>8.4748708110347654E-2</v>
      </c>
      <c r="M7" s="14"/>
    </row>
    <row r="8" spans="1:13" ht="18.75" x14ac:dyDescent="0.3">
      <c r="A8" s="16"/>
      <c r="B8" s="22">
        <v>5</v>
      </c>
      <c r="C8" s="21">
        <v>1350000.3060387583</v>
      </c>
      <c r="D8" s="16"/>
      <c r="E8" s="23"/>
      <c r="F8" s="16"/>
      <c r="G8" s="24">
        <f>GETPIVOTDATA("Valor Ahorrado",$B$3,"Customer_id",5)/G$2</f>
        <v>9.0042560148718975E-2</v>
      </c>
      <c r="H8" s="22"/>
      <c r="I8" s="21">
        <f t="shared" si="0"/>
        <v>220428.86945719179</v>
      </c>
      <c r="J8" s="25">
        <f>GETPIVOTDATA("Valor Ahorrado",$B$3,"Customer_id",5)+I8</f>
        <v>1570429.17549595</v>
      </c>
      <c r="K8" s="26">
        <f t="shared" si="1"/>
        <v>8.587361099683756E-2</v>
      </c>
      <c r="M8" s="14"/>
    </row>
    <row r="9" spans="1:13" ht="18.75" x14ac:dyDescent="0.3">
      <c r="A9" s="16"/>
      <c r="B9" s="22">
        <v>6</v>
      </c>
      <c r="C9" s="21">
        <v>316689.88050975226</v>
      </c>
      <c r="D9" s="16"/>
      <c r="E9" s="23"/>
      <c r="F9" s="16"/>
      <c r="G9" s="24">
        <f>GETPIVOTDATA("Valor Ahorrado",$B$3,"Customer_id",6)/G$2</f>
        <v>2.1122637888847499E-2</v>
      </c>
      <c r="H9" s="22"/>
      <c r="I9" s="21">
        <f t="shared" si="0"/>
        <v>51709.3159290689</v>
      </c>
      <c r="J9" s="25">
        <f>GETPIVOTDATA("Valor Ahorrado",$B$3,"Customer_id",6)+I9</f>
        <v>368399.19643882115</v>
      </c>
      <c r="K9" s="26">
        <f t="shared" si="1"/>
        <v>2.014466477072685E-2</v>
      </c>
      <c r="M9" s="14"/>
    </row>
    <row r="10" spans="1:13" ht="18.75" x14ac:dyDescent="0.3">
      <c r="A10" s="16"/>
      <c r="B10" s="22">
        <v>7</v>
      </c>
      <c r="C10" s="21">
        <v>1266724.7012743806</v>
      </c>
      <c r="D10" s="16"/>
      <c r="E10" s="23"/>
      <c r="F10" s="16"/>
      <c r="G10" s="24">
        <f>GETPIVOTDATA("Valor Ahorrado",$B$3,"Customer_id",7)/G$2</f>
        <v>8.4488229073847246E-2</v>
      </c>
      <c r="H10" s="22"/>
      <c r="I10" s="21">
        <f t="shared" si="0"/>
        <v>206831.57816068991</v>
      </c>
      <c r="J10" s="25">
        <f>GETPIVOTDATA("Valor Ahorrado",$B$3,"Customer_id",7)+I10</f>
        <v>1473556.2794350705</v>
      </c>
      <c r="K10" s="26">
        <f t="shared" si="1"/>
        <v>8.0576444131708544E-2</v>
      </c>
      <c r="M10" s="14"/>
    </row>
    <row r="11" spans="1:13" ht="18.75" x14ac:dyDescent="0.3">
      <c r="A11" s="16"/>
      <c r="B11" s="22">
        <v>8</v>
      </c>
      <c r="C11" s="21">
        <v>149999.80509752245</v>
      </c>
      <c r="D11" s="16"/>
      <c r="E11" s="23"/>
      <c r="F11" s="16"/>
      <c r="G11" s="24">
        <f>GETPIVOTDATA("Valor Ahorrado",$B$3,"Customer_id",8)/G$2</f>
        <v>1.0004713637747889E-2</v>
      </c>
      <c r="H11" s="22"/>
      <c r="I11" s="21">
        <f t="shared" si="0"/>
        <v>24492.059230315997</v>
      </c>
      <c r="J11" s="25">
        <f>GETPIVOTDATA("Valor Ahorrado",$B$3,"Customer_id",8)+I11</f>
        <v>174491.86432783844</v>
      </c>
      <c r="K11" s="26">
        <f t="shared" si="1"/>
        <v>9.5414977722059011E-3</v>
      </c>
      <c r="M11" s="14"/>
    </row>
    <row r="12" spans="1:13" ht="18.75" x14ac:dyDescent="0.3">
      <c r="A12" s="16"/>
      <c r="B12" s="22">
        <v>9</v>
      </c>
      <c r="C12" s="21">
        <v>1100000.4025487611</v>
      </c>
      <c r="D12" s="16"/>
      <c r="E12" s="23"/>
      <c r="F12" s="16"/>
      <c r="G12" s="24">
        <f>GETPIVOTDATA("Valor Ahorrado",$B$3,"Customer_id",9)/G$2</f>
        <v>7.3368022190113708E-2</v>
      </c>
      <c r="H12" s="22"/>
      <c r="I12" s="21">
        <f t="shared" si="0"/>
        <v>179608.73345855225</v>
      </c>
      <c r="J12" s="25">
        <f>GETPIVOTDATA("Valor Ahorrado",$B$3,"Customer_id",9)+I12</f>
        <v>1279609.1360073134</v>
      </c>
      <c r="K12" s="26">
        <f t="shared" si="1"/>
        <v>6.9971100185902538E-2</v>
      </c>
      <c r="M12" s="14"/>
    </row>
    <row r="13" spans="1:13" ht="18.75" x14ac:dyDescent="0.3">
      <c r="A13" s="16"/>
      <c r="B13" s="22">
        <v>10</v>
      </c>
      <c r="C13" s="21">
        <v>200000.4877728264</v>
      </c>
      <c r="D13" s="16"/>
      <c r="E13" s="23"/>
      <c r="F13" s="16"/>
      <c r="G13" s="24">
        <f>GETPIVOTDATA("Valor Ahorrado",$B$3,"Customer_id",10)/G$2</f>
        <v>1.3339668050075859E-2</v>
      </c>
      <c r="H13" s="22"/>
      <c r="I13" s="21">
        <f t="shared" si="0"/>
        <v>32656.201049324307</v>
      </c>
      <c r="J13" s="25">
        <f>GETPIVOTDATA("Valor Ahorrado",$B$3,"Customer_id",10)+I13</f>
        <v>232656.6888221507</v>
      </c>
      <c r="K13" s="26">
        <f t="shared" si="1"/>
        <v>1.2722044587216839E-2</v>
      </c>
      <c r="M13" s="14"/>
    </row>
    <row r="14" spans="1:13" ht="18.75" x14ac:dyDescent="0.3">
      <c r="A14" s="16"/>
      <c r="B14" s="22">
        <v>11</v>
      </c>
      <c r="C14" s="21">
        <v>0.29723838693462312</v>
      </c>
      <c r="D14" s="16"/>
      <c r="E14" s="23"/>
      <c r="F14" s="16"/>
      <c r="G14" s="24">
        <f>GETPIVOTDATA("Valor Ahorrado",$B$3,"Customer_id",11)/G$2</f>
        <v>1.9825258716126996E-8</v>
      </c>
      <c r="H14" s="22"/>
      <c r="I14" s="21">
        <f t="shared" si="0"/>
        <v>4.8533264250532122E-2</v>
      </c>
      <c r="J14" s="25">
        <f>GETPIVOTDATA("Valor Ahorrado",$B$3,"Customer_id",11)+I14</f>
        <v>0.34577165118515524</v>
      </c>
      <c r="K14" s="26">
        <f t="shared" si="1"/>
        <v>1.8907353945606061E-8</v>
      </c>
      <c r="M14" s="14"/>
    </row>
    <row r="15" spans="1:13" ht="18.75" x14ac:dyDescent="0.3">
      <c r="A15" s="16"/>
      <c r="B15" s="22">
        <v>12</v>
      </c>
      <c r="C15" s="21">
        <v>680527.13872790453</v>
      </c>
      <c r="D15" s="16"/>
      <c r="E15" s="23"/>
      <c r="F15" s="16"/>
      <c r="G15" s="24">
        <f>GETPIVOTDATA("Valor Ahorrado",$B$3,"Customer_id",12)/G$2</f>
        <v>4.538991994864313E-2</v>
      </c>
      <c r="H15" s="22"/>
      <c r="I15" s="21">
        <f t="shared" si="0"/>
        <v>111116.88431011571</v>
      </c>
      <c r="J15" s="25">
        <f>GETPIVOTDATA("Valor Ahorrado",$B$3,"Customer_id",12)+I15</f>
        <v>791644.02303802024</v>
      </c>
      <c r="K15" s="26">
        <f t="shared" si="1"/>
        <v>4.3288377434066445E-2</v>
      </c>
      <c r="M15" s="14"/>
    </row>
    <row r="16" spans="1:13" ht="18.75" x14ac:dyDescent="0.3">
      <c r="A16" s="16"/>
      <c r="B16" s="22">
        <v>13</v>
      </c>
      <c r="C16" s="21">
        <v>766724.70127438055</v>
      </c>
      <c r="D16" s="16"/>
      <c r="E16" s="23"/>
      <c r="F16" s="16"/>
      <c r="G16" s="24">
        <f>GETPIVOTDATA("Valor Ahorrado",$B$3,"Customer_id",13)/G$2</f>
        <v>5.1139140282554077E-2</v>
      </c>
      <c r="H16" s="22"/>
      <c r="I16" s="21">
        <f t="shared" si="0"/>
        <v>125191.27464698708</v>
      </c>
      <c r="J16" s="25">
        <f>GETPIVOTDATA("Valor Ahorrado",$B$3,"Customer_id",13)+I16</f>
        <v>891915.97592136764</v>
      </c>
      <c r="K16" s="26">
        <f t="shared" si="1"/>
        <v>4.8771410231822826E-2</v>
      </c>
      <c r="M16" s="14"/>
    </row>
    <row r="17" spans="1:15" ht="18.75" x14ac:dyDescent="0.3">
      <c r="A17" s="16"/>
      <c r="B17" s="22">
        <v>14</v>
      </c>
      <c r="C17" s="21">
        <v>418357.12752249604</v>
      </c>
      <c r="D17" s="16"/>
      <c r="E17" s="23"/>
      <c r="F17" s="16"/>
      <c r="G17" s="24">
        <f>GETPIVOTDATA("Valor Ahorrado",$B$3,"Customer_id",14)/G$2</f>
        <v>2.7903657984436153E-2</v>
      </c>
      <c r="H17" s="22"/>
      <c r="I17" s="21">
        <f t="shared" si="0"/>
        <v>68309.605736114885</v>
      </c>
      <c r="J17" s="25">
        <f>GETPIVOTDATA("Valor Ahorrado",$B$3,"Customer_id",14)+I17</f>
        <v>486666.73325861094</v>
      </c>
      <c r="K17" s="26">
        <f t="shared" si="1"/>
        <v>2.6611725246223586E-2</v>
      </c>
      <c r="M17" s="14"/>
    </row>
    <row r="18" spans="1:15" ht="18.75" x14ac:dyDescent="0.3">
      <c r="A18" s="16"/>
      <c r="B18" s="22">
        <v>15</v>
      </c>
      <c r="C18" s="21">
        <v>7.6553236693143845E-2</v>
      </c>
      <c r="D18" s="16"/>
      <c r="E18" s="23"/>
      <c r="F18" s="16"/>
      <c r="G18" s="24">
        <f>GETPIVOTDATA("Valor Ahorrado",$B$3,"Customer_id",15)/G$2</f>
        <v>5.1059613754810709E-9</v>
      </c>
      <c r="H18" s="22"/>
      <c r="I18" s="21">
        <f t="shared" si="0"/>
        <v>1.2499658957169186E-2</v>
      </c>
      <c r="J18" s="25">
        <f>GETPIVOTDATA("Valor Ahorrado",$B$3,"Customer_id",15)+I18</f>
        <v>8.9052895650313033E-2</v>
      </c>
      <c r="K18" s="26">
        <f t="shared" si="1"/>
        <v>4.8695565763428281E-9</v>
      </c>
      <c r="M18" s="14"/>
    </row>
    <row r="19" spans="1:15" ht="18.75" x14ac:dyDescent="0.3">
      <c r="A19" s="16"/>
      <c r="B19" s="22">
        <v>16</v>
      </c>
      <c r="C19" s="21">
        <v>773397.17140181875</v>
      </c>
      <c r="D19" s="16"/>
      <c r="E19" s="23"/>
      <c r="F19" s="16"/>
      <c r="G19" s="24">
        <f>GETPIVOTDATA("Valor Ahorrado",$B$3,"Customer_id",16)/G$2</f>
        <v>5.1584181880028453E-2</v>
      </c>
      <c r="H19" s="22"/>
      <c r="I19" s="21">
        <f t="shared" si="0"/>
        <v>126280.75961976741</v>
      </c>
      <c r="J19" s="25">
        <f>GETPIVOTDATA("Valor Ahorrado",$B$3,"Customer_id",16)+I19</f>
        <v>899677.93102158618</v>
      </c>
      <c r="K19" s="26">
        <f t="shared" si="1"/>
        <v>4.9195846509021118E-2</v>
      </c>
      <c r="M19" s="14"/>
    </row>
    <row r="20" spans="1:15" ht="18.75" x14ac:dyDescent="0.3">
      <c r="A20" s="16"/>
      <c r="B20" s="22">
        <v>17</v>
      </c>
      <c r="C20" s="21">
        <v>424024.37453523988</v>
      </c>
      <c r="D20" s="16"/>
      <c r="E20" s="23"/>
      <c r="F20" s="16"/>
      <c r="G20" s="24">
        <f>GETPIVOTDATA("Valor Ahorrado",$B$3,"Customer_id",17)/G$2</f>
        <v>2.828165303209652E-2</v>
      </c>
      <c r="H20" s="22"/>
      <c r="I20" s="21">
        <f t="shared" si="0"/>
        <v>69234.95726852995</v>
      </c>
      <c r="J20" s="25">
        <f>GETPIVOTDATA("Valor Ahorrado",$B$3,"Customer_id",17)+I20</f>
        <v>493259.3318037698</v>
      </c>
      <c r="K20" s="26">
        <f t="shared" si="1"/>
        <v>2.6972219212942274E-2</v>
      </c>
      <c r="M20" s="14"/>
    </row>
    <row r="21" spans="1:15" ht="18.75" x14ac:dyDescent="0.3">
      <c r="A21" s="16"/>
      <c r="B21" s="22">
        <v>18</v>
      </c>
      <c r="C21" s="21">
        <v>900000.24810727499</v>
      </c>
      <c r="D21" s="16"/>
      <c r="E21" s="23"/>
      <c r="F21" s="16"/>
      <c r="G21" s="24">
        <f>GETPIVOTDATA("Valor Ahorrado",$B$3,"Customer_id",18)/G$2</f>
        <v>6.0028376372630775E-2</v>
      </c>
      <c r="H21" s="22"/>
      <c r="I21" s="21">
        <f t="shared" si="0"/>
        <v>146952.58683577151</v>
      </c>
      <c r="J21" s="25">
        <f>GETPIVOTDATA("Valor Ahorrado",$B$3,"Customer_id",18)+I21</f>
        <v>1046952.8349430466</v>
      </c>
      <c r="K21" s="26">
        <f t="shared" si="1"/>
        <v>5.724907680191485E-2</v>
      </c>
      <c r="M21" s="14"/>
    </row>
    <row r="22" spans="1:15" ht="18.75" x14ac:dyDescent="0.3">
      <c r="A22" s="16"/>
      <c r="B22" s="22">
        <v>19</v>
      </c>
      <c r="C22" s="21">
        <v>0.1720716692507267</v>
      </c>
      <c r="D22" s="16"/>
      <c r="E22" s="23"/>
      <c r="F22" s="16"/>
      <c r="G22" s="24">
        <f>GETPIVOTDATA("Valor Ahorrado",$B$3,"Customer_id",19)/G$2</f>
        <v>1.1476866752617026E-8</v>
      </c>
      <c r="H22" s="22"/>
      <c r="I22" s="21">
        <f t="shared" si="0"/>
        <v>2.8095966607477617E-2</v>
      </c>
      <c r="J22" s="25">
        <f>GETPIVOTDATA("Valor Ahorrado",$B$3,"Customer_id",19)+I22</f>
        <v>0.20016763585820432</v>
      </c>
      <c r="K22" s="26">
        <f t="shared" si="1"/>
        <v>1.0945490547458565E-8</v>
      </c>
      <c r="M22" s="14"/>
    </row>
    <row r="23" spans="1:15" ht="18.75" x14ac:dyDescent="0.3">
      <c r="A23" s="16"/>
      <c r="B23" s="22">
        <v>20</v>
      </c>
      <c r="C23" s="21">
        <v>780527.13872790453</v>
      </c>
      <c r="D23" s="16"/>
      <c r="E23" s="18" t="s">
        <v>427</v>
      </c>
      <c r="F23" s="16"/>
      <c r="G23" s="24">
        <f>GETPIVOTDATA("Valor Ahorrado",$B$3,"Customer_id",20)/G$2</f>
        <v>5.2059737706901761E-2</v>
      </c>
      <c r="H23" s="22"/>
      <c r="I23" s="21">
        <f t="shared" si="0"/>
        <v>127444.94501285627</v>
      </c>
      <c r="J23" s="25">
        <f>GETPIVOTDATA("Valor Ahorrado",$B$3,"Customer_id",20)+I23</f>
        <v>907972.08374076081</v>
      </c>
      <c r="K23" s="26">
        <f t="shared" si="1"/>
        <v>4.9649384214043593E-2</v>
      </c>
      <c r="M23" s="14"/>
    </row>
    <row r="24" spans="1:15" ht="18.75" x14ac:dyDescent="0.3">
      <c r="A24" s="16"/>
      <c r="B24" s="22" t="s">
        <v>255</v>
      </c>
      <c r="C24" s="21">
        <v>14992913.393500002</v>
      </c>
      <c r="D24" s="16"/>
      <c r="E24" s="27">
        <f>(E2/GETPIVOTDATA("Valor Ahorrado",$B$3))*1</f>
        <v>0.1632806070274056</v>
      </c>
      <c r="F24" s="16"/>
      <c r="G24" s="28"/>
      <c r="H24" s="16"/>
      <c r="I24" s="17"/>
      <c r="J24" s="19">
        <f>SUM(J4:J23)</f>
        <v>17440965.393499997</v>
      </c>
      <c r="K24" s="16"/>
      <c r="M24" s="14"/>
    </row>
    <row r="25" spans="1:15" ht="18.75" x14ac:dyDescent="0.3">
      <c r="A25" s="16"/>
      <c r="B25" s="18" t="s">
        <v>268</v>
      </c>
      <c r="C25" s="19">
        <v>10000000</v>
      </c>
      <c r="D25" s="16"/>
      <c r="E25" s="29"/>
      <c r="F25" s="16"/>
      <c r="G25" s="44">
        <f>E2*G4</f>
        <v>419124.79507424554</v>
      </c>
      <c r="H25" s="16"/>
      <c r="I25" s="16"/>
      <c r="J25" s="16"/>
      <c r="K25" s="16"/>
    </row>
    <row r="26" spans="1:15" ht="18.75" x14ac:dyDescent="0.3">
      <c r="A26" s="16"/>
      <c r="B26" s="18" t="s">
        <v>269</v>
      </c>
      <c r="C26" s="19">
        <f>GETPIVOTDATA("Valor Ahorrado",$B$3)+C25</f>
        <v>24992913.3935</v>
      </c>
      <c r="D26" s="16"/>
      <c r="E26" s="42">
        <f>(E2/C26)*1</f>
        <v>9.7949845280409523E-2</v>
      </c>
      <c r="F26" s="16"/>
      <c r="G26" s="16"/>
      <c r="H26" s="16"/>
      <c r="I26" s="16"/>
      <c r="J26" s="16"/>
      <c r="K26" s="16"/>
    </row>
    <row r="27" spans="1:15" ht="18.75" x14ac:dyDescent="0.3">
      <c r="A27" s="16"/>
      <c r="B27" s="16"/>
      <c r="C27" s="16"/>
      <c r="D27" s="16"/>
      <c r="E27" s="29">
        <f>E26/12</f>
        <v>8.1624871067007936E-3</v>
      </c>
      <c r="F27" s="16"/>
      <c r="G27" s="16"/>
      <c r="H27" s="16"/>
      <c r="I27" s="16"/>
      <c r="J27" s="16"/>
      <c r="K27" s="16"/>
    </row>
    <row r="28" spans="1:15" ht="18.75" x14ac:dyDescent="0.25">
      <c r="B28" s="20" t="s">
        <v>102</v>
      </c>
      <c r="C28" s="22" t="s">
        <v>602</v>
      </c>
      <c r="D28" s="15"/>
    </row>
    <row r="29" spans="1:15" x14ac:dyDescent="0.25">
      <c r="C29"/>
    </row>
    <row r="30" spans="1:15" ht="18.75" x14ac:dyDescent="0.25">
      <c r="B30" s="20" t="s">
        <v>256</v>
      </c>
      <c r="C30" s="20" t="s">
        <v>272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1:15" ht="18.75" x14ac:dyDescent="0.25">
      <c r="B31" s="20" t="s">
        <v>254</v>
      </c>
      <c r="C31" s="31" t="s">
        <v>2</v>
      </c>
      <c r="D31" s="31" t="s">
        <v>3</v>
      </c>
      <c r="E31" s="31" t="s">
        <v>4</v>
      </c>
      <c r="F31" s="31" t="s">
        <v>5</v>
      </c>
      <c r="G31" s="33" t="s">
        <v>6</v>
      </c>
      <c r="H31" s="33" t="s">
        <v>7</v>
      </c>
      <c r="I31" s="33" t="s">
        <v>8</v>
      </c>
      <c r="J31" s="33" t="s">
        <v>9</v>
      </c>
      <c r="K31" s="35" t="s">
        <v>10</v>
      </c>
      <c r="L31" s="35" t="s">
        <v>14</v>
      </c>
      <c r="M31" s="35" t="s">
        <v>17</v>
      </c>
      <c r="N31" s="35" t="s">
        <v>16</v>
      </c>
      <c r="O31" s="22" t="s">
        <v>255</v>
      </c>
    </row>
    <row r="32" spans="1:15" ht="18.75" x14ac:dyDescent="0.25">
      <c r="B32" s="22">
        <v>1</v>
      </c>
      <c r="C32" s="32">
        <v>100000</v>
      </c>
      <c r="D32" s="32">
        <v>100000</v>
      </c>
      <c r="E32" s="32">
        <v>100000</v>
      </c>
      <c r="F32" s="32">
        <v>100000</v>
      </c>
      <c r="G32" s="34">
        <v>100000</v>
      </c>
      <c r="H32" s="34">
        <v>1100000</v>
      </c>
      <c r="I32" s="34">
        <v>100000</v>
      </c>
      <c r="J32" s="34">
        <v>100000</v>
      </c>
      <c r="K32" s="36">
        <v>100000</v>
      </c>
      <c r="L32" s="36">
        <v>100000</v>
      </c>
      <c r="M32" s="36">
        <v>100000</v>
      </c>
      <c r="N32" s="36">
        <v>366898.80509752245</v>
      </c>
      <c r="O32" s="21">
        <v>2466898.8050975222</v>
      </c>
    </row>
    <row r="33" spans="2:15" ht="18.75" x14ac:dyDescent="0.25">
      <c r="B33" s="22">
        <v>2</v>
      </c>
      <c r="C33" s="32">
        <v>50000</v>
      </c>
      <c r="D33" s="32">
        <v>50000</v>
      </c>
      <c r="E33" s="32">
        <v>50000</v>
      </c>
      <c r="F33" s="32">
        <v>50000</v>
      </c>
      <c r="G33" s="34">
        <v>50000</v>
      </c>
      <c r="H33" s="34">
        <v>50000</v>
      </c>
      <c r="I33" s="34">
        <v>50000</v>
      </c>
      <c r="J33" s="34">
        <v>50000</v>
      </c>
      <c r="K33" s="36">
        <v>50000</v>
      </c>
      <c r="L33" s="36">
        <v>50000</v>
      </c>
      <c r="M33" s="36">
        <v>50000</v>
      </c>
      <c r="N33" s="36">
        <v>116724.70127438061</v>
      </c>
      <c r="O33" s="21">
        <v>666724.70127438055</v>
      </c>
    </row>
    <row r="34" spans="2:15" ht="18.75" x14ac:dyDescent="0.25">
      <c r="B34" s="22">
        <v>3</v>
      </c>
      <c r="C34" s="32">
        <v>40000</v>
      </c>
      <c r="D34" s="32">
        <v>40000</v>
      </c>
      <c r="E34" s="32">
        <v>540000</v>
      </c>
      <c r="F34" s="32">
        <v>46450</v>
      </c>
      <c r="G34" s="34">
        <v>540000</v>
      </c>
      <c r="H34" s="34">
        <v>41061</v>
      </c>
      <c r="I34" s="34">
        <v>1040000</v>
      </c>
      <c r="J34" s="34">
        <v>40000</v>
      </c>
      <c r="K34" s="36">
        <v>40000</v>
      </c>
      <c r="L34" s="36">
        <v>40000</v>
      </c>
      <c r="M34" s="36">
        <v>-2728792</v>
      </c>
      <c r="N34" s="36">
        <v>421280.90457957069</v>
      </c>
      <c r="O34" s="21">
        <v>99999.904579570692</v>
      </c>
    </row>
    <row r="35" spans="2:15" ht="18.75" x14ac:dyDescent="0.25">
      <c r="B35" s="22">
        <v>4</v>
      </c>
      <c r="C35" s="32">
        <v>100000</v>
      </c>
      <c r="D35" s="32">
        <v>107000</v>
      </c>
      <c r="E35" s="32">
        <v>100000</v>
      </c>
      <c r="F35" s="32">
        <v>100000</v>
      </c>
      <c r="G35" s="34">
        <v>100000</v>
      </c>
      <c r="H35" s="34">
        <v>100000</v>
      </c>
      <c r="I35" s="34">
        <v>100000</v>
      </c>
      <c r="J35" s="34">
        <v>100000</v>
      </c>
      <c r="K35" s="36">
        <v>100000</v>
      </c>
      <c r="L35" s="36">
        <v>104000</v>
      </c>
      <c r="M35" s="36">
        <v>100000</v>
      </c>
      <c r="N35" s="36">
        <v>121315.95314621247</v>
      </c>
      <c r="O35" s="21">
        <v>1232315.9531462125</v>
      </c>
    </row>
    <row r="36" spans="2:15" ht="18.75" x14ac:dyDescent="0.25">
      <c r="B36" s="22">
        <v>5</v>
      </c>
      <c r="C36" s="32">
        <v>20000</v>
      </c>
      <c r="D36" s="32">
        <v>20000</v>
      </c>
      <c r="E36" s="32">
        <v>520000</v>
      </c>
      <c r="F36" s="32">
        <v>20000</v>
      </c>
      <c r="G36" s="34">
        <v>38964.873249999946</v>
      </c>
      <c r="H36" s="34">
        <v>20000</v>
      </c>
      <c r="I36" s="34">
        <v>20000</v>
      </c>
      <c r="J36" s="34">
        <v>20000</v>
      </c>
      <c r="K36" s="36">
        <v>20000</v>
      </c>
      <c r="L36" s="36">
        <v>20000</v>
      </c>
      <c r="M36" s="36">
        <v>520000</v>
      </c>
      <c r="N36" s="36">
        <v>-238964.56721124167</v>
      </c>
      <c r="O36" s="21">
        <v>1000000.3060387583</v>
      </c>
    </row>
    <row r="37" spans="2:15" ht="18.75" x14ac:dyDescent="0.25">
      <c r="B37" s="22">
        <v>6</v>
      </c>
      <c r="C37" s="32">
        <v>20000</v>
      </c>
      <c r="D37" s="32">
        <v>20000</v>
      </c>
      <c r="E37" s="32">
        <v>20000</v>
      </c>
      <c r="F37" s="32">
        <v>20000</v>
      </c>
      <c r="G37" s="34">
        <v>20000</v>
      </c>
      <c r="H37" s="34">
        <v>20000</v>
      </c>
      <c r="I37" s="34">
        <v>20000</v>
      </c>
      <c r="J37" s="34">
        <v>20000</v>
      </c>
      <c r="K37" s="36">
        <v>20000</v>
      </c>
      <c r="L37" s="36">
        <v>20000</v>
      </c>
      <c r="M37" s="36">
        <v>20000</v>
      </c>
      <c r="N37" s="36">
        <v>46689.880509752242</v>
      </c>
      <c r="O37" s="21">
        <v>266689.88050975226</v>
      </c>
    </row>
    <row r="38" spans="2:15" ht="18.75" x14ac:dyDescent="0.25">
      <c r="B38" s="22">
        <v>7</v>
      </c>
      <c r="C38" s="32">
        <v>50000</v>
      </c>
      <c r="D38" s="32">
        <v>50000</v>
      </c>
      <c r="E38" s="32">
        <v>50000</v>
      </c>
      <c r="F38" s="32">
        <v>50000</v>
      </c>
      <c r="G38" s="34">
        <v>50000</v>
      </c>
      <c r="H38" s="34">
        <v>50000</v>
      </c>
      <c r="I38" s="34">
        <v>50000</v>
      </c>
      <c r="J38" s="34">
        <v>50000</v>
      </c>
      <c r="K38" s="36">
        <v>50000</v>
      </c>
      <c r="L38" s="36">
        <v>50000</v>
      </c>
      <c r="M38" s="36">
        <v>50000</v>
      </c>
      <c r="N38" s="36">
        <v>116724.70127438061</v>
      </c>
      <c r="O38" s="21">
        <v>666724.70127438055</v>
      </c>
    </row>
    <row r="39" spans="2:15" ht="18.75" x14ac:dyDescent="0.25">
      <c r="B39" s="22">
        <v>8</v>
      </c>
      <c r="C39" s="32">
        <v>200000</v>
      </c>
      <c r="D39" s="32">
        <v>200000</v>
      </c>
      <c r="E39" s="32">
        <v>200000</v>
      </c>
      <c r="F39" s="32">
        <v>200000</v>
      </c>
      <c r="G39" s="34">
        <v>200000</v>
      </c>
      <c r="H39" s="34">
        <v>200000</v>
      </c>
      <c r="I39" s="34">
        <v>200000</v>
      </c>
      <c r="J39" s="34">
        <v>200000</v>
      </c>
      <c r="K39" s="36">
        <v>200000</v>
      </c>
      <c r="L39" s="36">
        <v>200000</v>
      </c>
      <c r="M39" s="36">
        <v>-2266899</v>
      </c>
      <c r="N39" s="36">
        <v>316898.80509752245</v>
      </c>
      <c r="O39" s="21">
        <v>49999.805097522447</v>
      </c>
    </row>
    <row r="40" spans="2:15" ht="18.75" x14ac:dyDescent="0.25">
      <c r="B40" s="22">
        <v>9</v>
      </c>
      <c r="C40" s="32">
        <v>100000</v>
      </c>
      <c r="D40" s="32">
        <v>100000</v>
      </c>
      <c r="E40" s="32">
        <v>100000</v>
      </c>
      <c r="F40" s="32">
        <v>100000</v>
      </c>
      <c r="G40" s="34">
        <v>100000</v>
      </c>
      <c r="H40" s="34">
        <v>100000</v>
      </c>
      <c r="I40" s="34">
        <v>100000</v>
      </c>
      <c r="J40" s="34">
        <v>100000</v>
      </c>
      <c r="K40" s="36">
        <v>100000</v>
      </c>
      <c r="L40" s="36">
        <v>100000</v>
      </c>
      <c r="M40" s="36">
        <v>-1133449</v>
      </c>
      <c r="N40" s="36">
        <v>233449.40254876122</v>
      </c>
      <c r="O40" s="21">
        <v>100000.40254876122</v>
      </c>
    </row>
    <row r="41" spans="2:15" ht="18.75" x14ac:dyDescent="0.25">
      <c r="B41" s="22">
        <v>10</v>
      </c>
      <c r="C41" s="32">
        <v>50000</v>
      </c>
      <c r="D41" s="32">
        <v>50000</v>
      </c>
      <c r="E41" s="32">
        <v>50000</v>
      </c>
      <c r="F41" s="32">
        <v>50000</v>
      </c>
      <c r="G41" s="34">
        <v>50000</v>
      </c>
      <c r="H41" s="34">
        <v>50000</v>
      </c>
      <c r="I41" s="34">
        <v>50000</v>
      </c>
      <c r="J41" s="34">
        <v>50000</v>
      </c>
      <c r="K41" s="36">
        <v>50000</v>
      </c>
      <c r="L41" s="36">
        <v>51444.95775000006</v>
      </c>
      <c r="M41" s="36">
        <v>-568362</v>
      </c>
      <c r="N41" s="36">
        <v>166917.53002282634</v>
      </c>
      <c r="O41" s="21">
        <v>100000.4877728264</v>
      </c>
    </row>
    <row r="42" spans="2:15" ht="18.75" x14ac:dyDescent="0.25">
      <c r="B42" s="22">
        <v>11</v>
      </c>
      <c r="C42" s="32">
        <v>20000</v>
      </c>
      <c r="D42" s="32">
        <v>20000</v>
      </c>
      <c r="E42" s="32">
        <v>20000</v>
      </c>
      <c r="F42" s="32">
        <v>20000</v>
      </c>
      <c r="G42" s="34">
        <v>20000</v>
      </c>
      <c r="H42" s="34">
        <v>20000</v>
      </c>
      <c r="I42" s="34">
        <v>20000</v>
      </c>
      <c r="J42" s="34">
        <v>20000</v>
      </c>
      <c r="K42" s="36">
        <v>20000</v>
      </c>
      <c r="L42" s="36">
        <v>20000</v>
      </c>
      <c r="M42" s="36">
        <v>-194953</v>
      </c>
      <c r="N42" s="36">
        <v>-5046.702761613069</v>
      </c>
      <c r="O42" s="21">
        <v>0.29723838693098514</v>
      </c>
    </row>
    <row r="43" spans="2:15" ht="18.75" x14ac:dyDescent="0.25">
      <c r="B43" s="22">
        <v>12</v>
      </c>
      <c r="C43" s="32">
        <v>100000</v>
      </c>
      <c r="D43" s="32">
        <v>100000</v>
      </c>
      <c r="E43" s="32">
        <v>100000</v>
      </c>
      <c r="F43" s="32">
        <v>100000</v>
      </c>
      <c r="G43" s="34">
        <v>60000</v>
      </c>
      <c r="H43" s="34">
        <v>20000</v>
      </c>
      <c r="I43" s="34">
        <v>20000</v>
      </c>
      <c r="J43" s="34">
        <v>20000</v>
      </c>
      <c r="K43" s="36">
        <v>20000</v>
      </c>
      <c r="L43" s="36">
        <v>20000</v>
      </c>
      <c r="M43" s="36">
        <v>20000</v>
      </c>
      <c r="N43" s="36">
        <v>50527.138727904603</v>
      </c>
      <c r="O43" s="21">
        <v>630527.13872790465</v>
      </c>
    </row>
    <row r="44" spans="2:15" ht="18.75" x14ac:dyDescent="0.25">
      <c r="B44" s="22">
        <v>13</v>
      </c>
      <c r="C44" s="32">
        <v>50000</v>
      </c>
      <c r="D44" s="32">
        <v>50000</v>
      </c>
      <c r="E44" s="32">
        <v>50000</v>
      </c>
      <c r="F44" s="32">
        <v>50000</v>
      </c>
      <c r="G44" s="34">
        <v>50000</v>
      </c>
      <c r="H44" s="34">
        <v>50000</v>
      </c>
      <c r="I44" s="34">
        <v>50000</v>
      </c>
      <c r="J44" s="34">
        <v>50000</v>
      </c>
      <c r="K44" s="36">
        <v>50000</v>
      </c>
      <c r="L44" s="36">
        <v>50000</v>
      </c>
      <c r="M44" s="36">
        <v>50000</v>
      </c>
      <c r="N44" s="36">
        <v>116724.70127438061</v>
      </c>
      <c r="O44" s="21">
        <v>666724.70127438055</v>
      </c>
    </row>
    <row r="45" spans="2:15" ht="18.75" x14ac:dyDescent="0.25">
      <c r="B45" s="22">
        <v>14</v>
      </c>
      <c r="C45" s="32">
        <v>20000</v>
      </c>
      <c r="D45" s="32">
        <v>20000</v>
      </c>
      <c r="E45" s="32">
        <v>20000</v>
      </c>
      <c r="F45" s="32">
        <v>20000</v>
      </c>
      <c r="G45" s="34">
        <v>20000</v>
      </c>
      <c r="H45" s="34">
        <v>20000</v>
      </c>
      <c r="I45" s="34">
        <v>45000</v>
      </c>
      <c r="J45" s="34">
        <v>20000</v>
      </c>
      <c r="K45" s="36">
        <v>20000</v>
      </c>
      <c r="L45" s="36">
        <v>40000</v>
      </c>
      <c r="M45" s="36">
        <v>20000</v>
      </c>
      <c r="N45" s="36">
        <v>7357.1275224960555</v>
      </c>
      <c r="O45" s="21">
        <v>272357.12752249604</v>
      </c>
    </row>
    <row r="46" spans="2:15" ht="18.75" x14ac:dyDescent="0.25">
      <c r="B46" s="22">
        <v>15</v>
      </c>
      <c r="C46" s="32">
        <v>20000</v>
      </c>
      <c r="D46" s="32">
        <v>20000</v>
      </c>
      <c r="E46" s="32">
        <v>20000</v>
      </c>
      <c r="F46" s="32">
        <v>20000</v>
      </c>
      <c r="G46" s="34">
        <v>20000</v>
      </c>
      <c r="H46" s="34">
        <v>20000</v>
      </c>
      <c r="I46" s="34">
        <v>20000</v>
      </c>
      <c r="J46" s="34">
        <v>80000</v>
      </c>
      <c r="K46" s="36">
        <v>80000</v>
      </c>
      <c r="L46" s="36">
        <v>80000</v>
      </c>
      <c r="M46" s="36">
        <v>378000</v>
      </c>
      <c r="N46" s="36">
        <v>-757999.92344676331</v>
      </c>
      <c r="O46" s="21">
        <v>7.6553236693143845E-2</v>
      </c>
    </row>
    <row r="47" spans="2:15" ht="18.75" x14ac:dyDescent="0.25">
      <c r="B47" s="22">
        <v>16</v>
      </c>
      <c r="C47" s="32">
        <v>50000</v>
      </c>
      <c r="D47" s="32">
        <v>100000</v>
      </c>
      <c r="E47" s="32">
        <v>50000</v>
      </c>
      <c r="F47" s="32">
        <v>50000</v>
      </c>
      <c r="G47" s="34">
        <v>50000</v>
      </c>
      <c r="H47" s="34">
        <v>50000</v>
      </c>
      <c r="I47" s="34">
        <v>50000</v>
      </c>
      <c r="J47" s="34">
        <v>50000</v>
      </c>
      <c r="K47" s="36">
        <v>50000</v>
      </c>
      <c r="L47" s="36">
        <v>50000</v>
      </c>
      <c r="M47" s="36">
        <v>50000</v>
      </c>
      <c r="N47" s="36">
        <v>123397.17140181868</v>
      </c>
      <c r="O47" s="21">
        <v>723397.17140181863</v>
      </c>
    </row>
    <row r="48" spans="2:15" ht="18.75" x14ac:dyDescent="0.25">
      <c r="B48" s="22">
        <v>17</v>
      </c>
      <c r="C48" s="32">
        <v>20000</v>
      </c>
      <c r="D48" s="32">
        <v>20000</v>
      </c>
      <c r="E48" s="32">
        <v>20000</v>
      </c>
      <c r="F48" s="32">
        <v>20000</v>
      </c>
      <c r="G48" s="34">
        <v>20000</v>
      </c>
      <c r="H48" s="34">
        <v>20000</v>
      </c>
      <c r="I48" s="34">
        <v>45000</v>
      </c>
      <c r="J48" s="34">
        <v>20000</v>
      </c>
      <c r="K48" s="36">
        <v>20000</v>
      </c>
      <c r="L48" s="36">
        <v>45000</v>
      </c>
      <c r="M48" s="36">
        <v>20000</v>
      </c>
      <c r="N48" s="36">
        <v>8024.3745352398582</v>
      </c>
      <c r="O48" s="21">
        <v>278024.37453523988</v>
      </c>
    </row>
    <row r="49" spans="2:15" ht="18.75" x14ac:dyDescent="0.25">
      <c r="B49" s="22">
        <v>18</v>
      </c>
      <c r="C49" s="32">
        <v>20000</v>
      </c>
      <c r="D49" s="32">
        <v>520000</v>
      </c>
      <c r="E49" s="32">
        <v>1020000</v>
      </c>
      <c r="F49" s="32">
        <v>20000</v>
      </c>
      <c r="G49" s="34">
        <v>20000</v>
      </c>
      <c r="H49" s="34">
        <v>520000</v>
      </c>
      <c r="I49" s="34">
        <v>20000</v>
      </c>
      <c r="J49" s="34">
        <v>20000</v>
      </c>
      <c r="K49" s="36">
        <v>20000</v>
      </c>
      <c r="L49" s="36">
        <v>20000</v>
      </c>
      <c r="M49" s="36">
        <v>-3013588.4375</v>
      </c>
      <c r="N49" s="36">
        <v>813588.68560727476</v>
      </c>
      <c r="O49" s="21">
        <v>0.24810727476142347</v>
      </c>
    </row>
    <row r="50" spans="2:15" ht="18.75" x14ac:dyDescent="0.25">
      <c r="B50" s="22">
        <v>19</v>
      </c>
      <c r="C50" s="32">
        <v>94500</v>
      </c>
      <c r="D50" s="32">
        <v>45000</v>
      </c>
      <c r="E50" s="32">
        <v>45000</v>
      </c>
      <c r="F50" s="32">
        <v>220000</v>
      </c>
      <c r="G50" s="34">
        <v>220000</v>
      </c>
      <c r="H50" s="34">
        <v>230000</v>
      </c>
      <c r="I50" s="34">
        <v>540000</v>
      </c>
      <c r="J50" s="34">
        <v>220000</v>
      </c>
      <c r="K50" s="36">
        <v>330000</v>
      </c>
      <c r="L50" s="36">
        <v>320000</v>
      </c>
      <c r="M50" s="36">
        <v>-3496696</v>
      </c>
      <c r="N50" s="36">
        <v>452196.17207166983</v>
      </c>
      <c r="O50" s="21">
        <v>-779999.82792833017</v>
      </c>
    </row>
    <row r="51" spans="2:15" ht="18.75" x14ac:dyDescent="0.25">
      <c r="B51" s="22">
        <v>20</v>
      </c>
      <c r="C51" s="32">
        <v>100000</v>
      </c>
      <c r="D51" s="32">
        <v>100000</v>
      </c>
      <c r="E51" s="32">
        <v>100000</v>
      </c>
      <c r="F51" s="32">
        <v>100000</v>
      </c>
      <c r="G51" s="34">
        <v>60000</v>
      </c>
      <c r="H51" s="34">
        <v>20000</v>
      </c>
      <c r="I51" s="34">
        <v>20000</v>
      </c>
      <c r="J51" s="34">
        <v>20000</v>
      </c>
      <c r="K51" s="36">
        <v>20000</v>
      </c>
      <c r="L51" s="36">
        <v>20000</v>
      </c>
      <c r="M51" s="36">
        <v>20000</v>
      </c>
      <c r="N51" s="36">
        <v>50527.138727904603</v>
      </c>
      <c r="O51" s="21">
        <v>630527.13872790465</v>
      </c>
    </row>
    <row r="52" spans="2:15" ht="18.75" x14ac:dyDescent="0.25">
      <c r="B52" s="22" t="s">
        <v>255</v>
      </c>
      <c r="C52" s="32">
        <v>1224500</v>
      </c>
      <c r="D52" s="32">
        <v>1732000</v>
      </c>
      <c r="E52" s="32">
        <v>3175000</v>
      </c>
      <c r="F52" s="32">
        <v>1356450</v>
      </c>
      <c r="G52" s="34">
        <v>1788964.8732499999</v>
      </c>
      <c r="H52" s="34">
        <v>2701061</v>
      </c>
      <c r="I52" s="34">
        <v>2560000</v>
      </c>
      <c r="J52" s="34">
        <v>1250000</v>
      </c>
      <c r="K52" s="36">
        <v>1360000</v>
      </c>
      <c r="L52" s="36">
        <v>1400444.9577500001</v>
      </c>
      <c r="M52" s="36">
        <v>-12004739.4375</v>
      </c>
      <c r="N52" s="36">
        <v>2527232</v>
      </c>
      <c r="O52" s="21">
        <v>9070913.3935000002</v>
      </c>
    </row>
    <row r="53" spans="2:15" x14ac:dyDescent="0.25">
      <c r="C53"/>
    </row>
    <row r="54" spans="2:15" x14ac:dyDescent="0.25">
      <c r="C54"/>
    </row>
    <row r="55" spans="2:15" x14ac:dyDescent="0.25">
      <c r="C55"/>
    </row>
    <row r="56" spans="2:15" x14ac:dyDescent="0.25">
      <c r="C56"/>
    </row>
    <row r="57" spans="2:15" x14ac:dyDescent="0.25">
      <c r="C57"/>
    </row>
    <row r="58" spans="2:15" x14ac:dyDescent="0.25">
      <c r="C58"/>
    </row>
    <row r="59" spans="2:15" x14ac:dyDescent="0.25">
      <c r="C59"/>
    </row>
    <row r="60" spans="2:15" x14ac:dyDescent="0.25">
      <c r="C60"/>
    </row>
    <row r="61" spans="2:15" x14ac:dyDescent="0.25">
      <c r="C61"/>
    </row>
    <row r="62" spans="2:15" x14ac:dyDescent="0.25">
      <c r="C62"/>
    </row>
    <row r="63" spans="2:15" x14ac:dyDescent="0.25">
      <c r="C63"/>
    </row>
    <row r="64" spans="2:15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592C-EC5B-4FE6-849F-25FD3DE9A0CE}">
  <dimension ref="A1:A12"/>
  <sheetViews>
    <sheetView workbookViewId="0">
      <selection activeCell="D1" sqref="D1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14</v>
      </c>
    </row>
    <row r="11" spans="1:1" x14ac:dyDescent="0.25">
      <c r="A11" t="s">
        <v>17</v>
      </c>
    </row>
    <row r="12" spans="1:1" x14ac:dyDescent="0.25">
      <c r="A12" t="s">
        <v>16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6DD9-B84C-4AEF-A3C6-E772A3AFB20D}">
  <dimension ref="A2:C22"/>
  <sheetViews>
    <sheetView workbookViewId="0">
      <selection activeCell="A27" sqref="A27"/>
    </sheetView>
  </sheetViews>
  <sheetFormatPr baseColWidth="10" defaultColWidth="11.42578125" defaultRowHeight="15" x14ac:dyDescent="0.25"/>
  <cols>
    <col min="1" max="1" width="32.85546875" style="38" bestFit="1" customWidth="1"/>
    <col min="2" max="2" width="15.5703125" style="38" bestFit="1" customWidth="1"/>
    <col min="3" max="16384" width="11.42578125" style="38"/>
  </cols>
  <sheetData>
    <row r="2" spans="1:3" x14ac:dyDescent="0.25">
      <c r="A2" s="38" t="s">
        <v>347</v>
      </c>
      <c r="B2" s="39">
        <v>10000000</v>
      </c>
    </row>
    <row r="3" spans="1:3" x14ac:dyDescent="0.25">
      <c r="A3" s="38" t="s">
        <v>348</v>
      </c>
      <c r="B3" s="39">
        <v>17695976</v>
      </c>
    </row>
    <row r="4" spans="1:3" x14ac:dyDescent="0.25">
      <c r="A4" s="38" t="s">
        <v>349</v>
      </c>
      <c r="B4" s="39">
        <f>SUM(B2:B3)</f>
        <v>27695976</v>
      </c>
    </row>
    <row r="6" spans="1:3" x14ac:dyDescent="0.25">
      <c r="A6" s="38" t="s">
        <v>350</v>
      </c>
      <c r="B6" s="39">
        <v>26100000</v>
      </c>
    </row>
    <row r="7" spans="1:3" x14ac:dyDescent="0.25">
      <c r="B7" s="39"/>
    </row>
    <row r="8" spans="1:3" x14ac:dyDescent="0.25">
      <c r="A8" s="38" t="s">
        <v>351</v>
      </c>
      <c r="B8" s="39">
        <f>B4-B6</f>
        <v>1595976</v>
      </c>
    </row>
    <row r="9" spans="1:3" x14ac:dyDescent="0.25">
      <c r="B9" s="39"/>
    </row>
    <row r="10" spans="1:3" x14ac:dyDescent="0.25">
      <c r="A10" s="38" t="s">
        <v>352</v>
      </c>
      <c r="B10" s="39">
        <v>18979461</v>
      </c>
    </row>
    <row r="11" spans="1:3" x14ac:dyDescent="0.25">
      <c r="A11" s="38" t="s">
        <v>353</v>
      </c>
      <c r="B11" s="39">
        <v>958925</v>
      </c>
    </row>
    <row r="12" spans="1:3" x14ac:dyDescent="0.25">
      <c r="A12" s="38" t="s">
        <v>354</v>
      </c>
      <c r="B12" s="39">
        <f>B10-B11</f>
        <v>18020536</v>
      </c>
    </row>
    <row r="14" spans="1:3" x14ac:dyDescent="0.25">
      <c r="A14" s="38" t="s">
        <v>351</v>
      </c>
      <c r="B14" s="39">
        <f>B12+B8</f>
        <v>19616512</v>
      </c>
    </row>
    <row r="15" spans="1:3" x14ac:dyDescent="0.25">
      <c r="A15" s="38" t="s">
        <v>355</v>
      </c>
      <c r="B15" s="39">
        <v>700982.56</v>
      </c>
      <c r="C15" s="39">
        <v>700982.56</v>
      </c>
    </row>
    <row r="16" spans="1:3" x14ac:dyDescent="0.25">
      <c r="A16" s="38" t="s">
        <v>356</v>
      </c>
      <c r="B16" s="39">
        <f>SUM(B14:B15)</f>
        <v>20317494.559999999</v>
      </c>
    </row>
    <row r="18" spans="1:2" x14ac:dyDescent="0.25">
      <c r="A18" s="38" t="s">
        <v>357</v>
      </c>
      <c r="B18" s="40">
        <v>8278953</v>
      </c>
    </row>
    <row r="19" spans="1:2" x14ac:dyDescent="0.25">
      <c r="A19" s="38" t="s">
        <v>353</v>
      </c>
      <c r="B19" s="40">
        <f>193238</f>
        <v>193238</v>
      </c>
    </row>
    <row r="20" spans="1:2" x14ac:dyDescent="0.25">
      <c r="A20" s="38" t="s">
        <v>358</v>
      </c>
      <c r="B20" s="41">
        <f>SUM(B18:B19)</f>
        <v>8472191</v>
      </c>
    </row>
    <row r="22" spans="1:2" x14ac:dyDescent="0.25">
      <c r="B22" s="41">
        <f>B20+B16</f>
        <v>28789685.559999999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Ahorro</vt:lpstr>
      <vt:lpstr>Devolucion</vt:lpstr>
      <vt:lpstr>Calculos</vt:lpstr>
      <vt:lpstr>Hoja3</vt:lpstr>
      <vt:lpstr>varios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2026-03-08T04:43:23Z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